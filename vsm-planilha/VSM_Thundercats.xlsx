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Atual" sheetId="1" state="visible" r:id="rId1"/>
    <sheet name="Estado Futuro" sheetId="2" state="visible" r:id="rId2"/>
    <sheet name="Fórmu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FF2CC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pivotButton="0" quotePrefix="0" xfId="0"/>
    <xf numFmtId="2" fontId="4" fillId="0" borderId="1" pivotButton="0" quotePrefix="0" xfId="0"/>
    <xf numFmtId="3" fontId="4" fillId="0" borderId="1" pivotButton="0" quotePrefix="0" xfId="0"/>
    <xf numFmtId="0" fontId="6" fillId="0" borderId="0" pivotButton="0" quotePrefix="0" xfId="0"/>
    <xf numFmtId="164" fontId="6" fillId="0" borderId="1" pivotButton="0" quotePrefix="0" xfId="0"/>
    <xf numFmtId="165" fontId="4" fillId="0" borderId="0" pivotButton="0" quotePrefix="0" xfId="0"/>
    <xf numFmtId="9" fontId="5" fillId="3" borderId="1" pivotButton="0" quotePrefix="0" xfId="0"/>
    <xf numFmtId="9" fontId="4" fillId="0" borderId="1" pivotButton="0" quotePrefix="0" xfId="0"/>
    <xf numFmtId="1" fontId="4" fillId="0" borderId="1" pivotButton="0" quotePrefix="0" xfId="0"/>
    <xf numFmtId="0" fontId="4" fillId="0" borderId="1" pivotButton="0" quotePrefix="0" xfId="0"/>
    <xf numFmtId="2" fontId="6" fillId="4" borderId="1" pivotButton="0" quotePrefix="0" xfId="0"/>
    <xf numFmtId="3" fontId="6" fillId="4" borderId="1" pivotButton="0" quotePrefix="0" xfId="0"/>
    <xf numFmtId="10" fontId="6" fillId="4" borderId="1" pivotButton="0" quotePrefix="0" xfId="0"/>
    <xf numFmtId="1" fontId="6" fillId="4" borderId="1" pivotButton="0" quotePrefix="0" xfId="0"/>
    <xf numFmtId="165" fontId="6" fillId="4" borderId="1" pivotButton="0" quotePrefix="0" xfId="0"/>
    <xf numFmtId="0" fontId="6" fillId="4" borderId="1" pivotButton="0" quotePrefix="0" xfId="0"/>
    <xf numFmtId="9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Balanceamento: TC efetivo × Takt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Atual'!J16</f>
            </strRef>
          </tx>
          <spPr>
            <a:ln>
              <a:prstDash val="solid"/>
            </a:ln>
          </spPr>
          <cat>
            <numRef>
              <f>'Estado Atual'!$A$17:$A$20</f>
            </numRef>
          </cat>
          <val>
            <numRef>
              <f>'Estado Atual'!$J$17:$J$20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'Estado Atual'!O16</f>
            </strRef>
          </tx>
          <spPr>
            <a:ln>
              <a:solidFill>
                <a:srgbClr val="D930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'Estado Atual'!$O$17:$O$20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segundos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Balanceamento: TC efetivo × Takt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Futuro'!J16</f>
            </strRef>
          </tx>
          <spPr>
            <a:ln>
              <a:prstDash val="solid"/>
            </a:ln>
          </spPr>
          <cat>
            <numRef>
              <f>'Estado Futuro'!$A$17:$A$19</f>
            </numRef>
          </cat>
          <val>
            <numRef>
              <f>'Estado Futuro'!$J$17:$J$19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'Estado Futuro'!O16</f>
            </strRef>
          </tx>
          <spPr>
            <a:ln>
              <a:solidFill>
                <a:srgbClr val="D930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'Estado Futuro'!$O$17:$O$19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segundos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VSM</author>
  </authors>
  <commentList>
    <comment ref="A20" authorId="0" shapeId="0">
      <text>
        <t>Prova não informa pausas: considerado 0 min (8,8 h líquidas).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8" customWidth="1" min="4" max="4"/>
    <col width="12" customWidth="1" min="5" max="5"/>
    <col width="14" customWidth="1" min="6" max="6"/>
    <col width="10" customWidth="1" min="7" max="7"/>
    <col width="12" customWidth="1" min="8" max="8"/>
    <col width="10" customWidth="1" min="9" max="9"/>
    <col width="14" customWidth="1" min="10" max="10"/>
    <col width="13" customWidth="1" min="11" max="11"/>
    <col width="14" customWidth="1" min="12" max="12"/>
    <col width="12" customWidth="1" min="13" max="13"/>
    <col width="12" customWidth="1" min="14" max="14"/>
    <col width="10" customWidth="1" min="15" max="15"/>
    <col width="24" customWidth="1" min="16" max="16"/>
  </cols>
  <sheetData>
    <row r="1">
      <c r="A1" s="1" t="inlineStr">
        <is>
          <t>MFV Estado Atual — Thundercats Painéis (família Lion)</t>
        </is>
      </c>
    </row>
    <row r="2">
      <c r="A2" s="2" t="inlineStr">
        <is>
          <t>Células amarelas com texto azul = dados de entrada. O resto é fórmula e recalcula sozinho.</t>
        </is>
      </c>
    </row>
    <row r="3">
      <c r="A3" s="3" t="inlineStr">
        <is>
          <t>Parâmetro</t>
        </is>
      </c>
      <c r="B3" s="3" t="inlineStr">
        <is>
          <t>Valor</t>
        </is>
      </c>
      <c r="C3" s="3" t="inlineStr">
        <is>
          <t>Unidade</t>
        </is>
      </c>
    </row>
    <row r="4">
      <c r="A4" s="4" t="inlineStr">
        <is>
          <t>Demanda mensal</t>
        </is>
      </c>
      <c r="B4" s="5" t="n">
        <v>170</v>
      </c>
      <c r="C4" s="4" t="inlineStr">
        <is>
          <t>peças/mês</t>
        </is>
      </c>
    </row>
    <row r="5">
      <c r="A5" s="4" t="inlineStr">
        <is>
          <t>Dias úteis</t>
        </is>
      </c>
      <c r="B5" s="5" t="n">
        <v>20</v>
      </c>
      <c r="C5" s="4" t="inlineStr">
        <is>
          <t>dias/mês</t>
        </is>
      </c>
    </row>
    <row r="6">
      <c r="A6" s="4" t="inlineStr">
        <is>
          <t>Turnos da planta</t>
        </is>
      </c>
      <c r="B6" s="5" t="n">
        <v>1</v>
      </c>
      <c r="C6" s="4" t="inlineStr">
        <is>
          <t>turnos/dia</t>
        </is>
      </c>
    </row>
    <row r="7">
      <c r="A7" s="4" t="inlineStr">
        <is>
          <t>Horas por turno</t>
        </is>
      </c>
      <c r="B7" s="5" t="n">
        <v>8.800000000000001</v>
      </c>
      <c r="C7" s="4" t="inlineStr">
        <is>
          <t>h</t>
        </is>
      </c>
    </row>
    <row r="8">
      <c r="A8" s="4" t="inlineStr">
        <is>
          <t>Pausas por turno</t>
        </is>
      </c>
      <c r="B8" s="5" t="n">
        <v>0</v>
      </c>
      <c r="C8" s="4" t="inlineStr">
        <is>
          <t>min</t>
        </is>
      </c>
    </row>
    <row r="9">
      <c r="A9" s="4" t="inlineStr">
        <is>
          <t>Estoque de produto acabado (antes da expedição)</t>
        </is>
      </c>
      <c r="B9" s="5" t="n">
        <v>10</v>
      </c>
      <c r="C9" s="4" t="inlineStr">
        <is>
          <t>peças</t>
        </is>
      </c>
    </row>
    <row r="10">
      <c r="A10" s="4" t="inlineStr">
        <is>
          <t>Demanda diária</t>
        </is>
      </c>
      <c r="B10" s="6">
        <f>B4/B5</f>
        <v/>
      </c>
      <c r="C10" s="4" t="inlineStr">
        <is>
          <t>peças/dia</t>
        </is>
      </c>
    </row>
    <row r="11">
      <c r="A11" s="4" t="inlineStr">
        <is>
          <t>Tempo disponível por turno</t>
        </is>
      </c>
      <c r="B11" s="7">
        <f>B7*3600-B8*60</f>
        <v/>
      </c>
      <c r="C11" s="4" t="inlineStr">
        <is>
          <t>s</t>
        </is>
      </c>
    </row>
    <row r="12">
      <c r="A12" s="4" t="inlineStr">
        <is>
          <t>Tempo disponível por dia (planta)</t>
        </is>
      </c>
      <c r="B12" s="7">
        <f>B6*B11</f>
        <v/>
      </c>
      <c r="C12" s="4" t="inlineStr">
        <is>
          <t>s/dia</t>
        </is>
      </c>
    </row>
    <row r="13">
      <c r="A13" s="8" t="inlineStr">
        <is>
          <t>TAKT TIME</t>
        </is>
      </c>
      <c r="B13" s="9">
        <f>B12/B10</f>
        <v/>
      </c>
      <c r="C13" s="4" t="inlineStr">
        <is>
          <t>s/peça</t>
        </is>
      </c>
    </row>
    <row r="14">
      <c r="A14" s="4" t="inlineStr">
        <is>
          <t>Takt em minutos</t>
        </is>
      </c>
      <c r="B14" s="10">
        <f>B13/60</f>
        <v/>
      </c>
      <c r="C14" s="4" t="inlineStr">
        <is>
          <t>min/peça</t>
        </is>
      </c>
    </row>
    <row r="16" ht="48" customHeight="1">
      <c r="A16" s="3" t="inlineStr">
        <is>
          <t>Processo</t>
        </is>
      </c>
      <c r="B16" s="3" t="inlineStr">
        <is>
          <t>Operadores</t>
        </is>
      </c>
      <c r="C16" s="3" t="inlineStr">
        <is>
          <t>Tempo de ciclo TC (s)</t>
        </is>
      </c>
      <c r="D16" s="3" t="inlineStr">
        <is>
          <t>Lote</t>
        </is>
      </c>
      <c r="E16" s="3" t="inlineStr">
        <is>
          <t>Turnos (vazio = planta)</t>
        </is>
      </c>
      <c r="F16" s="3" t="inlineStr">
        <is>
          <t>OEE / Disponib. (vazio = 100%)</t>
        </is>
      </c>
      <c r="G16" s="3" t="inlineStr">
        <is>
          <t>Setup TR (s)</t>
        </is>
      </c>
      <c r="H16" s="3" t="inlineStr">
        <is>
          <t>Estoque ANTES (peças)</t>
        </is>
      </c>
      <c r="I16" s="3" t="inlineStr">
        <is>
          <t>Agrega valor? (S/N)</t>
        </is>
      </c>
      <c r="J16" s="3" t="inlineStr">
        <is>
          <t>TC efetivo = TC ÷ OEE (s)</t>
        </is>
      </c>
      <c r="K16" s="3" t="inlineStr">
        <is>
          <t>Capacidade (peças/dia)</t>
        </is>
      </c>
      <c r="L16" s="3" t="inlineStr">
        <is>
          <t>Carga (demanda ÷ capacidade)</t>
        </is>
      </c>
      <c r="M16" s="3" t="inlineStr">
        <is>
          <t>Espera no estoque (dias)</t>
        </is>
      </c>
      <c r="N16" s="3" t="inlineStr">
        <is>
          <t>Operadores × turnos</t>
        </is>
      </c>
      <c r="O16" s="3" t="inlineStr">
        <is>
          <t>Takt (s)</t>
        </is>
      </c>
      <c r="P16" s="3" t="inlineStr">
        <is>
          <t>Situação</t>
        </is>
      </c>
    </row>
    <row r="17">
      <c r="A17" s="5" t="inlineStr">
        <is>
          <t>Puncionadeira</t>
        </is>
      </c>
      <c r="B17" s="5" t="n">
        <v>1</v>
      </c>
      <c r="C17" s="5" t="n">
        <v>4080</v>
      </c>
      <c r="D17" s="5" t="n">
        <v>4</v>
      </c>
      <c r="E17" s="5" t="n">
        <v>2</v>
      </c>
      <c r="F17" s="11" t="n">
        <v>0.75</v>
      </c>
      <c r="G17" s="5" t="n"/>
      <c r="H17" s="5" t="n">
        <v>35</v>
      </c>
      <c r="I17" s="5" t="inlineStr">
        <is>
          <t>S</t>
        </is>
      </c>
      <c r="J17" s="7">
        <f>IF(A17="","",C17/IF(F17="",1,F17))</f>
        <v/>
      </c>
      <c r="K17" s="6">
        <f>IF(A17="","",$B$11*IF(E17="",$B$6,E17)*IF(F17="",1,F17)/C17)</f>
        <v/>
      </c>
      <c r="L17" s="12">
        <f>IF(A17="","",$B$10/K17)</f>
        <v/>
      </c>
      <c r="M17" s="6">
        <f>IF(A17="","",H17/$B$10)</f>
        <v/>
      </c>
      <c r="N17" s="13">
        <f>IF(A17="","",B17*IF(E17="",$B$6,E17))</f>
        <v/>
      </c>
      <c r="O17" s="7">
        <f>IF(A17="","",$B$13)</f>
        <v/>
      </c>
      <c r="P17" s="14">
        <f>IF(A17="","",IF(L17&gt;1,"NÃO ATENDE A DEMANDA",IF(J17&gt;$B$13,"OK SÓ COM TURNO EXTRA","OK")))</f>
        <v/>
      </c>
    </row>
    <row r="18">
      <c r="A18" s="5" t="inlineStr">
        <is>
          <t>Dobradeira</t>
        </is>
      </c>
      <c r="B18" s="5" t="n">
        <v>1</v>
      </c>
      <c r="C18" s="5" t="n">
        <v>3812</v>
      </c>
      <c r="D18" s="5" t="n">
        <v>4</v>
      </c>
      <c r="E18" s="5" t="n">
        <v>2</v>
      </c>
      <c r="F18" s="11" t="n">
        <v>0.62</v>
      </c>
      <c r="G18" s="5" t="n"/>
      <c r="H18" s="5" t="n">
        <v>13</v>
      </c>
      <c r="I18" s="5" t="inlineStr">
        <is>
          <t>S</t>
        </is>
      </c>
      <c r="J18" s="7">
        <f>IF(A18="","",C18/IF(F18="",1,F18))</f>
        <v/>
      </c>
      <c r="K18" s="6">
        <f>IF(A18="","",$B$11*IF(E18="",$B$6,E18)*IF(F18="",1,F18)/C18)</f>
        <v/>
      </c>
      <c r="L18" s="12">
        <f>IF(A18="","",$B$10/K18)</f>
        <v/>
      </c>
      <c r="M18" s="6">
        <f>IF(A18="","",H18/$B$10)</f>
        <v/>
      </c>
      <c r="N18" s="13">
        <f>IF(A18="","",B18*IF(E18="",$B$6,E18))</f>
        <v/>
      </c>
      <c r="O18" s="7">
        <f>IF(A18="","",$B$13)</f>
        <v/>
      </c>
      <c r="P18" s="14">
        <f>IF(A18="","",IF(L18&gt;1,"NÃO ATENDE A DEMANDA",IF(J18&gt;$B$13,"OK SÓ COM TURNO EXTRA","OK")))</f>
        <v/>
      </c>
    </row>
    <row r="19">
      <c r="A19" s="5" t="inlineStr">
        <is>
          <t>Pré Montagem</t>
        </is>
      </c>
      <c r="B19" s="5" t="n">
        <v>1</v>
      </c>
      <c r="C19" s="5" t="n">
        <v>822</v>
      </c>
      <c r="D19" s="5" t="n"/>
      <c r="E19" s="5" t="n">
        <v>1</v>
      </c>
      <c r="F19" s="11" t="n"/>
      <c r="G19" s="5" t="n">
        <v>477</v>
      </c>
      <c r="H19" s="5" t="n">
        <v>30</v>
      </c>
      <c r="I19" s="5" t="inlineStr">
        <is>
          <t>S</t>
        </is>
      </c>
      <c r="J19" s="7">
        <f>IF(A19="","",C19/IF(F19="",1,F19))</f>
        <v/>
      </c>
      <c r="K19" s="6">
        <f>IF(A19="","",$B$11*IF(E19="",$B$6,E19)*IF(F19="",1,F19)/C19)</f>
        <v/>
      </c>
      <c r="L19" s="12">
        <f>IF(A19="","",$B$10/K19)</f>
        <v/>
      </c>
      <c r="M19" s="6">
        <f>IF(A19="","",H19/$B$10)</f>
        <v/>
      </c>
      <c r="N19" s="13">
        <f>IF(A19="","",B19*IF(E19="",$B$6,E19))</f>
        <v/>
      </c>
      <c r="O19" s="7">
        <f>IF(A19="","",$B$13)</f>
        <v/>
      </c>
      <c r="P19" s="14">
        <f>IF(A19="","",IF(L19&gt;1,"NÃO ATENDE A DEMANDA",IF(J19&gt;$B$13,"OK SÓ COM TURNO EXTRA","OK")))</f>
        <v/>
      </c>
    </row>
    <row r="20">
      <c r="A20" s="5" t="inlineStr">
        <is>
          <t>Montagem</t>
        </is>
      </c>
      <c r="B20" s="5" t="n">
        <v>1</v>
      </c>
      <c r="C20" s="5" t="n">
        <v>850</v>
      </c>
      <c r="D20" s="5" t="n"/>
      <c r="E20" s="5" t="n">
        <v>1</v>
      </c>
      <c r="F20" s="11" t="n"/>
      <c r="G20" s="5" t="n">
        <v>477</v>
      </c>
      <c r="H20" s="5" t="n">
        <v>25</v>
      </c>
      <c r="I20" s="5" t="inlineStr">
        <is>
          <t>S</t>
        </is>
      </c>
      <c r="J20" s="7">
        <f>IF(A20="","",C20/IF(F20="",1,F20))</f>
        <v/>
      </c>
      <c r="K20" s="6">
        <f>IF(A20="","",$B$11*IF(E20="",$B$6,E20)*IF(F20="",1,F20)/C20)</f>
        <v/>
      </c>
      <c r="L20" s="12">
        <f>IF(A20="","",$B$10/K20)</f>
        <v/>
      </c>
      <c r="M20" s="6">
        <f>IF(A20="","",H20/$B$10)</f>
        <v/>
      </c>
      <c r="N20" s="13">
        <f>IF(A20="","",B20*IF(E20="",$B$6,E20))</f>
        <v/>
      </c>
      <c r="O20" s="7">
        <f>IF(A20="","",$B$13)</f>
        <v/>
      </c>
      <c r="P20" s="14">
        <f>IF(A20="","",IF(L20&gt;1,"NÃO ATENDE A DEMANDA",IF(J20&gt;$B$13,"OK SÓ COM TURNO EXTRA","OK")))</f>
        <v/>
      </c>
    </row>
    <row r="21">
      <c r="A21" s="5" t="n"/>
      <c r="B21" s="5" t="n"/>
      <c r="C21" s="5" t="n"/>
      <c r="D21" s="5" t="n"/>
      <c r="E21" s="5" t="n"/>
      <c r="F21" s="11" t="n"/>
      <c r="G21" s="5" t="n"/>
      <c r="H21" s="5" t="n"/>
      <c r="I21" s="5" t="n"/>
      <c r="J21" s="7">
        <f>IF(A21="","",C21/IF(F21="",1,F21))</f>
        <v/>
      </c>
      <c r="K21" s="6">
        <f>IF(A21="","",$B$11*IF(E21="",$B$6,E21)*IF(F21="",1,F21)/C21)</f>
        <v/>
      </c>
      <c r="L21" s="12">
        <f>IF(A21="","",$B$10/K21)</f>
        <v/>
      </c>
      <c r="M21" s="6">
        <f>IF(A21="","",H21/$B$10)</f>
        <v/>
      </c>
      <c r="N21" s="13">
        <f>IF(A21="","",B21*IF(E21="",$B$6,E21))</f>
        <v/>
      </c>
      <c r="O21" s="7">
        <f>IF(A21="","",$B$13)</f>
        <v/>
      </c>
      <c r="P21" s="14">
        <f>IF(A21="","",IF(L21&gt;1,"NÃO ATENDE A DEMANDA",IF(J21&gt;$B$13,"OK SÓ COM TURNO EXTRA","OK")))</f>
        <v/>
      </c>
    </row>
    <row r="22">
      <c r="A22" s="5" t="n"/>
      <c r="B22" s="5" t="n"/>
      <c r="C22" s="5" t="n"/>
      <c r="D22" s="5" t="n"/>
      <c r="E22" s="5" t="n"/>
      <c r="F22" s="11" t="n"/>
      <c r="G22" s="5" t="n"/>
      <c r="H22" s="5" t="n"/>
      <c r="I22" s="5" t="n"/>
      <c r="J22" s="7">
        <f>IF(A22="","",C22/IF(F22="",1,F22))</f>
        <v/>
      </c>
      <c r="K22" s="6">
        <f>IF(A22="","",$B$11*IF(E22="",$B$6,E22)*IF(F22="",1,F22)/C22)</f>
        <v/>
      </c>
      <c r="L22" s="12">
        <f>IF(A22="","",$B$10/K22)</f>
        <v/>
      </c>
      <c r="M22" s="6">
        <f>IF(A22="","",H22/$B$10)</f>
        <v/>
      </c>
      <c r="N22" s="13">
        <f>IF(A22="","",B22*IF(E22="",$B$6,E22))</f>
        <v/>
      </c>
      <c r="O22" s="7">
        <f>IF(A22="","",$B$13)</f>
        <v/>
      </c>
      <c r="P22" s="14">
        <f>IF(A22="","",IF(L22&gt;1,"NÃO ATENDE A DEMANDA",IF(J22&gt;$B$13,"OK SÓ COM TURNO EXTRA","OK")))</f>
        <v/>
      </c>
    </row>
    <row r="23">
      <c r="A23" s="5" t="n"/>
      <c r="B23" s="5" t="n"/>
      <c r="C23" s="5" t="n"/>
      <c r="D23" s="5" t="n"/>
      <c r="E23" s="5" t="n"/>
      <c r="F23" s="11" t="n"/>
      <c r="G23" s="5" t="n"/>
      <c r="H23" s="5" t="n"/>
      <c r="I23" s="5" t="n"/>
      <c r="J23" s="7">
        <f>IF(A23="","",C23/IF(F23="",1,F23))</f>
        <v/>
      </c>
      <c r="K23" s="6">
        <f>IF(A23="","",$B$11*IF(E23="",$B$6,E23)*IF(F23="",1,F23)/C23)</f>
        <v/>
      </c>
      <c r="L23" s="12">
        <f>IF(A23="","",$B$10/K23)</f>
        <v/>
      </c>
      <c r="M23" s="6">
        <f>IF(A23="","",H23/$B$10)</f>
        <v/>
      </c>
      <c r="N23" s="13">
        <f>IF(A23="","",B23*IF(E23="",$B$6,E23))</f>
        <v/>
      </c>
      <c r="O23" s="7">
        <f>IF(A23="","",$B$13)</f>
        <v/>
      </c>
      <c r="P23" s="14">
        <f>IF(A23="","",IF(L23&gt;1,"NÃO ATENDE A DEMANDA",IF(J23&gt;$B$13,"OK SÓ COM TURNO EXTRA","OK")))</f>
        <v/>
      </c>
    </row>
    <row r="24">
      <c r="A24" s="5" t="n"/>
      <c r="B24" s="5" t="n"/>
      <c r="C24" s="5" t="n"/>
      <c r="D24" s="5" t="n"/>
      <c r="E24" s="5" t="n"/>
      <c r="F24" s="11" t="n"/>
      <c r="G24" s="5" t="n"/>
      <c r="H24" s="5" t="n"/>
      <c r="I24" s="5" t="n"/>
      <c r="J24" s="7">
        <f>IF(A24="","",C24/IF(F24="",1,F24))</f>
        <v/>
      </c>
      <c r="K24" s="6">
        <f>IF(A24="","",$B$11*IF(E24="",$B$6,E24)*IF(F24="",1,F24)/C24)</f>
        <v/>
      </c>
      <c r="L24" s="12">
        <f>IF(A24="","",$B$10/K24)</f>
        <v/>
      </c>
      <c r="M24" s="6">
        <f>IF(A24="","",H24/$B$10)</f>
        <v/>
      </c>
      <c r="N24" s="13">
        <f>IF(A24="","",B24*IF(E24="",$B$6,E24))</f>
        <v/>
      </c>
      <c r="O24" s="7">
        <f>IF(A24="","",$B$13)</f>
        <v/>
      </c>
      <c r="P24" s="14">
        <f>IF(A24="","",IF(L24&gt;1,"NÃO ATENDE A DEMANDA",IF(J24&gt;$B$13,"OK SÓ COM TURNO EXTRA","OK")))</f>
        <v/>
      </c>
    </row>
    <row r="25">
      <c r="A25" s="5" t="n"/>
      <c r="B25" s="5" t="n"/>
      <c r="C25" s="5" t="n"/>
      <c r="D25" s="5" t="n"/>
      <c r="E25" s="5" t="n"/>
      <c r="F25" s="11" t="n"/>
      <c r="G25" s="5" t="n"/>
      <c r="H25" s="5" t="n"/>
      <c r="I25" s="5" t="n"/>
      <c r="J25" s="7">
        <f>IF(A25="","",C25/IF(F25="",1,F25))</f>
        <v/>
      </c>
      <c r="K25" s="6">
        <f>IF(A25="","",$B$11*IF(E25="",$B$6,E25)*IF(F25="",1,F25)/C25)</f>
        <v/>
      </c>
      <c r="L25" s="12">
        <f>IF(A25="","",$B$10/K25)</f>
        <v/>
      </c>
      <c r="M25" s="6">
        <f>IF(A25="","",H25/$B$10)</f>
        <v/>
      </c>
      <c r="N25" s="13">
        <f>IF(A25="","",B25*IF(E25="",$B$6,E25))</f>
        <v/>
      </c>
      <c r="O25" s="7">
        <f>IF(A25="","",$B$13)</f>
        <v/>
      </c>
      <c r="P25" s="14">
        <f>IF(A25="","",IF(L25&gt;1,"NÃO ATENDE A DEMANDA",IF(J25&gt;$B$13,"OK SÓ COM TURNO EXTRA","OK")))</f>
        <v/>
      </c>
    </row>
    <row r="26">
      <c r="A26" s="5" t="n"/>
      <c r="B26" s="5" t="n"/>
      <c r="C26" s="5" t="n"/>
      <c r="D26" s="5" t="n"/>
      <c r="E26" s="5" t="n"/>
      <c r="F26" s="11" t="n"/>
      <c r="G26" s="5" t="n"/>
      <c r="H26" s="5" t="n"/>
      <c r="I26" s="5" t="n"/>
      <c r="J26" s="7">
        <f>IF(A26="","",C26/IF(F26="",1,F26))</f>
        <v/>
      </c>
      <c r="K26" s="6">
        <f>IF(A26="","",$B$11*IF(E26="",$B$6,E26)*IF(F26="",1,F26)/C26)</f>
        <v/>
      </c>
      <c r="L26" s="12">
        <f>IF(A26="","",$B$10/K26)</f>
        <v/>
      </c>
      <c r="M26" s="6">
        <f>IF(A26="","",H26/$B$10)</f>
        <v/>
      </c>
      <c r="N26" s="13">
        <f>IF(A26="","",B26*IF(E26="",$B$6,E26))</f>
        <v/>
      </c>
      <c r="O26" s="7">
        <f>IF(A26="","",$B$13)</f>
        <v/>
      </c>
      <c r="P26" s="14">
        <f>IF(A26="","",IF(L26&gt;1,"NÃO ATENDE A DEMANDA",IF(J26&gt;$B$13,"OK SÓ COM TURNO EXTRA","OK")))</f>
        <v/>
      </c>
    </row>
    <row r="29">
      <c r="A29" s="3" t="inlineStr">
        <is>
          <t>Resultado</t>
        </is>
      </c>
      <c r="B29" s="3" t="inlineStr">
        <is>
          <t>Valor</t>
        </is>
      </c>
      <c r="C29" s="3" t="inlineStr">
        <is>
          <t>Unidade</t>
        </is>
      </c>
    </row>
    <row r="30">
      <c r="A30" s="4" t="inlineStr">
        <is>
          <t>Lead time de produção</t>
        </is>
      </c>
      <c r="B30" s="15">
        <f>SUM(M17:M26)+B9/B10</f>
        <v/>
      </c>
      <c r="C30" s="4" t="inlineStr">
        <is>
          <t>dias</t>
        </is>
      </c>
    </row>
    <row r="31">
      <c r="A31" s="4" t="inlineStr">
        <is>
          <t>Tempo de processamento (TP = Σ TC)</t>
        </is>
      </c>
      <c r="B31" s="16">
        <f>SUM(C17:C26)</f>
        <v/>
      </c>
      <c r="C31" s="4" t="inlineStr">
        <is>
          <t>s</t>
        </is>
      </c>
    </row>
    <row r="32">
      <c r="A32" s="4" t="inlineStr">
        <is>
          <t>TP em horas</t>
        </is>
      </c>
      <c r="B32" s="15">
        <f>B31/3600</f>
        <v/>
      </c>
      <c r="C32" s="4" t="inlineStr">
        <is>
          <t>h</t>
        </is>
      </c>
    </row>
    <row r="33">
      <c r="A33" s="4" t="inlineStr">
        <is>
          <t>Tempo de valor agregado (Σ TC com "S")</t>
        </is>
      </c>
      <c r="B33" s="16">
        <f>SUMIF(I17:I26,"S",C17:C26)</f>
        <v/>
      </c>
      <c r="C33" s="4" t="inlineStr">
        <is>
          <t>s</t>
        </is>
      </c>
    </row>
    <row r="34">
      <c r="A34" s="4" t="inlineStr">
        <is>
          <t>PCE (LT em horas de trabalho)</t>
        </is>
      </c>
      <c r="B34" s="17">
        <f>B33/(B30*B12+B31)</f>
        <v/>
      </c>
      <c r="C34" s="4" t="inlineStr">
        <is>
          <t>%</t>
        </is>
      </c>
    </row>
    <row r="35">
      <c r="A35" s="4" t="inlineStr">
        <is>
          <t>PCE (LT em 24 h corridas)</t>
        </is>
      </c>
      <c r="B35" s="17">
        <f>B33/(B30*86400+B31)</f>
        <v/>
      </c>
      <c r="C35" s="4" t="inlineStr">
        <is>
          <t>%</t>
        </is>
      </c>
    </row>
    <row r="36">
      <c r="A36" s="4" t="inlineStr">
        <is>
          <t>Operadores teóricos (TP ÷ Takt)</t>
        </is>
      </c>
      <c r="B36" s="15">
        <f>B31/B13</f>
        <v/>
      </c>
      <c r="C36" s="4" t="inlineStr">
        <is>
          <t>operadores</t>
        </is>
      </c>
    </row>
    <row r="37">
      <c r="A37" s="4" t="inlineStr">
        <is>
          <t>Operadores necessários (arredondado)</t>
        </is>
      </c>
      <c r="B37" s="18">
        <f>ROUNDUP(B36,0)</f>
        <v/>
      </c>
      <c r="C37" s="4" t="inlineStr">
        <is>
          <t>operadores</t>
        </is>
      </c>
    </row>
    <row r="38">
      <c r="A38" s="4" t="inlineStr">
        <is>
          <t>Operadores atuais (op. × turnos)</t>
        </is>
      </c>
      <c r="B38" s="18">
        <f>SUM(N17:N26)</f>
        <v/>
      </c>
      <c r="C38" s="4" t="inlineStr">
        <is>
          <t>operadores</t>
        </is>
      </c>
    </row>
    <row r="39">
      <c r="A39" s="4" t="inlineStr">
        <is>
          <t>Peças por operador por mês</t>
        </is>
      </c>
      <c r="B39" s="19">
        <f>B4/B38</f>
        <v/>
      </c>
      <c r="C39" s="4" t="inlineStr">
        <is>
          <t>peças/op/mês</t>
        </is>
      </c>
    </row>
    <row r="40">
      <c r="A40" s="4" t="inlineStr">
        <is>
          <t>Gargalo (maior carga)</t>
        </is>
      </c>
      <c r="B40" s="20">
        <f>INDEX(A17:A26,MATCH(MAX(L17:L26),L17:L26,0))</f>
        <v/>
      </c>
      <c r="C40" s="4" t="inlineStr"/>
    </row>
    <row r="41">
      <c r="A41" s="4" t="inlineStr">
        <is>
          <t>Carga do gargalo</t>
        </is>
      </c>
      <c r="B41" s="21">
        <f>MAX(L17:L26)</f>
        <v/>
      </c>
      <c r="C41" s="4" t="inlineStr">
        <is>
          <t>%</t>
        </is>
      </c>
    </row>
    <row r="43">
      <c r="A43" s="2" t="inlineStr">
        <is>
          <t>Dados da prova. Premissa: o TC é por painel (só assim os 2 turnos da Puncionadeira e da Dobradeira se explicam).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8" customWidth="1" min="4" max="4"/>
    <col width="12" customWidth="1" min="5" max="5"/>
    <col width="14" customWidth="1" min="6" max="6"/>
    <col width="10" customWidth="1" min="7" max="7"/>
    <col width="12" customWidth="1" min="8" max="8"/>
    <col width="10" customWidth="1" min="9" max="9"/>
    <col width="14" customWidth="1" min="10" max="10"/>
    <col width="13" customWidth="1" min="11" max="11"/>
    <col width="14" customWidth="1" min="12" max="12"/>
    <col width="12" customWidth="1" min="13" max="13"/>
    <col width="12" customWidth="1" min="14" max="14"/>
    <col width="10" customWidth="1" min="15" max="15"/>
    <col width="24" customWidth="1" min="16" max="16"/>
  </cols>
  <sheetData>
    <row r="1">
      <c r="A1" s="1" t="inlineStr">
        <is>
          <t>MFV Estado Futuro — proposta (edite as metas)</t>
        </is>
      </c>
    </row>
    <row r="2">
      <c r="A2" s="2" t="inlineStr">
        <is>
          <t>Células amarelas com texto azul = dados de entrada. O resto é fórmula e recalcula sozinho.</t>
        </is>
      </c>
    </row>
    <row r="3">
      <c r="A3" s="3" t="inlineStr">
        <is>
          <t>Parâmetro</t>
        </is>
      </c>
      <c r="B3" s="3" t="inlineStr">
        <is>
          <t>Valor</t>
        </is>
      </c>
      <c r="C3" s="3" t="inlineStr">
        <is>
          <t>Unidade</t>
        </is>
      </c>
    </row>
    <row r="4">
      <c r="A4" s="4" t="inlineStr">
        <is>
          <t>Demanda mensal</t>
        </is>
      </c>
      <c r="B4" s="5" t="n">
        <v>170</v>
      </c>
      <c r="C4" s="4" t="inlineStr">
        <is>
          <t>peças/mês</t>
        </is>
      </c>
    </row>
    <row r="5">
      <c r="A5" s="4" t="inlineStr">
        <is>
          <t>Dias úteis</t>
        </is>
      </c>
      <c r="B5" s="5" t="n">
        <v>20</v>
      </c>
      <c r="C5" s="4" t="inlineStr">
        <is>
          <t>dias/mês</t>
        </is>
      </c>
    </row>
    <row r="6">
      <c r="A6" s="4" t="inlineStr">
        <is>
          <t>Turnos da planta</t>
        </is>
      </c>
      <c r="B6" s="5" t="n">
        <v>1</v>
      </c>
      <c r="C6" s="4" t="inlineStr">
        <is>
          <t>turnos/dia</t>
        </is>
      </c>
    </row>
    <row r="7">
      <c r="A7" s="4" t="inlineStr">
        <is>
          <t>Horas por turno</t>
        </is>
      </c>
      <c r="B7" s="5" t="n">
        <v>8.800000000000001</v>
      </c>
      <c r="C7" s="4" t="inlineStr">
        <is>
          <t>h</t>
        </is>
      </c>
    </row>
    <row r="8">
      <c r="A8" s="4" t="inlineStr">
        <is>
          <t>Pausas por turno</t>
        </is>
      </c>
      <c r="B8" s="5" t="n">
        <v>0</v>
      </c>
      <c r="C8" s="4" t="inlineStr">
        <is>
          <t>min</t>
        </is>
      </c>
    </row>
    <row r="9">
      <c r="A9" s="4" t="inlineStr">
        <is>
          <t>Estoque de produto acabado (antes da expedição)</t>
        </is>
      </c>
      <c r="B9" s="5" t="n">
        <v>9</v>
      </c>
      <c r="C9" s="4" t="inlineStr">
        <is>
          <t>peças</t>
        </is>
      </c>
    </row>
    <row r="10">
      <c r="A10" s="4" t="inlineStr">
        <is>
          <t>Demanda diária</t>
        </is>
      </c>
      <c r="B10" s="6">
        <f>B4/B5</f>
        <v/>
      </c>
      <c r="C10" s="4" t="inlineStr">
        <is>
          <t>peças/dia</t>
        </is>
      </c>
    </row>
    <row r="11">
      <c r="A11" s="4" t="inlineStr">
        <is>
          <t>Tempo disponível por turno</t>
        </is>
      </c>
      <c r="B11" s="7">
        <f>B7*3600-B8*60</f>
        <v/>
      </c>
      <c r="C11" s="4" t="inlineStr">
        <is>
          <t>s</t>
        </is>
      </c>
    </row>
    <row r="12">
      <c r="A12" s="4" t="inlineStr">
        <is>
          <t>Tempo disponível por dia (planta)</t>
        </is>
      </c>
      <c r="B12" s="7">
        <f>B6*B11</f>
        <v/>
      </c>
      <c r="C12" s="4" t="inlineStr">
        <is>
          <t>s/dia</t>
        </is>
      </c>
    </row>
    <row r="13">
      <c r="A13" s="8" t="inlineStr">
        <is>
          <t>TAKT TIME</t>
        </is>
      </c>
      <c r="B13" s="9">
        <f>B12/B10</f>
        <v/>
      </c>
      <c r="C13" s="4" t="inlineStr">
        <is>
          <t>s/peça</t>
        </is>
      </c>
    </row>
    <row r="14">
      <c r="A14" s="4" t="inlineStr">
        <is>
          <t>Takt em minutos</t>
        </is>
      </c>
      <c r="B14" s="10">
        <f>B13/60</f>
        <v/>
      </c>
      <c r="C14" s="4" t="inlineStr">
        <is>
          <t>min/peça</t>
        </is>
      </c>
    </row>
    <row r="16" ht="48" customHeight="1">
      <c r="A16" s="3" t="inlineStr">
        <is>
          <t>Processo</t>
        </is>
      </c>
      <c r="B16" s="3" t="inlineStr">
        <is>
          <t>Operadores</t>
        </is>
      </c>
      <c r="C16" s="3" t="inlineStr">
        <is>
          <t>Tempo de ciclo TC (s)</t>
        </is>
      </c>
      <c r="D16" s="3" t="inlineStr">
        <is>
          <t>Lote</t>
        </is>
      </c>
      <c r="E16" s="3" t="inlineStr">
        <is>
          <t>Turnos (vazio = planta)</t>
        </is>
      </c>
      <c r="F16" s="3" t="inlineStr">
        <is>
          <t>OEE / Disponib. (vazio = 100%)</t>
        </is>
      </c>
      <c r="G16" s="3" t="inlineStr">
        <is>
          <t>Setup TR (s)</t>
        </is>
      </c>
      <c r="H16" s="3" t="inlineStr">
        <is>
          <t>Estoque ANTES (peças)</t>
        </is>
      </c>
      <c r="I16" s="3" t="inlineStr">
        <is>
          <t>Agrega valor? (S/N)</t>
        </is>
      </c>
      <c r="J16" s="3" t="inlineStr">
        <is>
          <t>TC efetivo = TC ÷ OEE (s)</t>
        </is>
      </c>
      <c r="K16" s="3" t="inlineStr">
        <is>
          <t>Capacidade (peças/dia)</t>
        </is>
      </c>
      <c r="L16" s="3" t="inlineStr">
        <is>
          <t>Carga (demanda ÷ capacidade)</t>
        </is>
      </c>
      <c r="M16" s="3" t="inlineStr">
        <is>
          <t>Espera no estoque (dias)</t>
        </is>
      </c>
      <c r="N16" s="3" t="inlineStr">
        <is>
          <t>Operadores × turnos</t>
        </is>
      </c>
      <c r="O16" s="3" t="inlineStr">
        <is>
          <t>Takt (s)</t>
        </is>
      </c>
      <c r="P16" s="3" t="inlineStr">
        <is>
          <t>Situação</t>
        </is>
      </c>
    </row>
    <row r="17">
      <c r="A17" s="5" t="inlineStr">
        <is>
          <t>Puncionadeira (TPM + SMED)</t>
        </is>
      </c>
      <c r="B17" s="5" t="n">
        <v>1</v>
      </c>
      <c r="C17" s="5" t="n">
        <v>4080</v>
      </c>
      <c r="D17" s="5" t="n">
        <v>2</v>
      </c>
      <c r="E17" s="5" t="n">
        <v>2</v>
      </c>
      <c r="F17" s="11" t="n">
        <v>0.85</v>
      </c>
      <c r="G17" s="5" t="n"/>
      <c r="H17" s="5" t="n">
        <v>17</v>
      </c>
      <c r="I17" s="5" t="inlineStr">
        <is>
          <t>S</t>
        </is>
      </c>
      <c r="J17" s="7">
        <f>IF(A17="","",C17/IF(F17="",1,F17))</f>
        <v/>
      </c>
      <c r="K17" s="6">
        <f>IF(A17="","",$B$11*IF(E17="",$B$6,E17)*IF(F17="",1,F17)/C17)</f>
        <v/>
      </c>
      <c r="L17" s="12">
        <f>IF(A17="","",$B$10/K17)</f>
        <v/>
      </c>
      <c r="M17" s="6">
        <f>IF(A17="","",H17/$B$10)</f>
        <v/>
      </c>
      <c r="N17" s="13">
        <f>IF(A17="","",B17*IF(E17="",$B$6,E17))</f>
        <v/>
      </c>
      <c r="O17" s="7">
        <f>IF(A17="","",$B$13)</f>
        <v/>
      </c>
      <c r="P17" s="14">
        <f>IF(A17="","",IF(L17&gt;1,"NÃO ATENDE A DEMANDA",IF(J17&gt;$B$13,"OK SÓ COM TURNO EXTRA","OK")))</f>
        <v/>
      </c>
    </row>
    <row r="18">
      <c r="A18" s="5" t="inlineStr">
        <is>
          <t>Dobradeira (TPM + SMED) — FIFO máx. 1 lote</t>
        </is>
      </c>
      <c r="B18" s="5" t="n">
        <v>1</v>
      </c>
      <c r="C18" s="5" t="n">
        <v>3812</v>
      </c>
      <c r="D18" s="5" t="n">
        <v>2</v>
      </c>
      <c r="E18" s="5" t="n">
        <v>2</v>
      </c>
      <c r="F18" s="11" t="n">
        <v>0.85</v>
      </c>
      <c r="G18" s="5" t="n"/>
      <c r="H18" s="5" t="n">
        <v>4</v>
      </c>
      <c r="I18" s="5" t="inlineStr">
        <is>
          <t>S</t>
        </is>
      </c>
      <c r="J18" s="7">
        <f>IF(A18="","",C18/IF(F18="",1,F18))</f>
        <v/>
      </c>
      <c r="K18" s="6">
        <f>IF(A18="","",$B$11*IF(E18="",$B$6,E18)*IF(F18="",1,F18)/C18)</f>
        <v/>
      </c>
      <c r="L18" s="12">
        <f>IF(A18="","",$B$10/K18)</f>
        <v/>
      </c>
      <c r="M18" s="6">
        <f>IF(A18="","",H18/$B$10)</f>
        <v/>
      </c>
      <c r="N18" s="13">
        <f>IF(A18="","",B18*IF(E18="",$B$6,E18))</f>
        <v/>
      </c>
      <c r="O18" s="7">
        <f>IF(A18="","",$B$13)</f>
        <v/>
      </c>
      <c r="P18" s="14">
        <f>IF(A18="","",IF(L18&gt;1,"NÃO ATENDE A DEMANDA",IF(J18&gt;$B$13,"OK SÓ COM TURNO EXTRA","OK")))</f>
        <v/>
      </c>
    </row>
    <row r="19">
      <c r="A19" s="5" t="inlineStr">
        <is>
          <t>Célula Pré Montagem + Montagem (puxador) — supermercado antes</t>
        </is>
      </c>
      <c r="B19" s="5" t="n">
        <v>1</v>
      </c>
      <c r="C19" s="5" t="n">
        <v>1672</v>
      </c>
      <c r="D19" s="5" t="n">
        <v>1</v>
      </c>
      <c r="E19" s="5" t="n">
        <v>1</v>
      </c>
      <c r="F19" s="11" t="n"/>
      <c r="G19" s="5" t="n"/>
      <c r="H19" s="5" t="n">
        <v>9</v>
      </c>
      <c r="I19" s="5" t="inlineStr">
        <is>
          <t>S</t>
        </is>
      </c>
      <c r="J19" s="7">
        <f>IF(A19="","",C19/IF(F19="",1,F19))</f>
        <v/>
      </c>
      <c r="K19" s="6">
        <f>IF(A19="","",$B$11*IF(E19="",$B$6,E19)*IF(F19="",1,F19)/C19)</f>
        <v/>
      </c>
      <c r="L19" s="12">
        <f>IF(A19="","",$B$10/K19)</f>
        <v/>
      </c>
      <c r="M19" s="6">
        <f>IF(A19="","",H19/$B$10)</f>
        <v/>
      </c>
      <c r="N19" s="13">
        <f>IF(A19="","",B19*IF(E19="",$B$6,E19))</f>
        <v/>
      </c>
      <c r="O19" s="7">
        <f>IF(A19="","",$B$13)</f>
        <v/>
      </c>
      <c r="P19" s="14">
        <f>IF(A19="","",IF(L19&gt;1,"NÃO ATENDE A DEMANDA",IF(J19&gt;$B$13,"OK SÓ COM TURNO EXTRA","OK")))</f>
        <v/>
      </c>
    </row>
    <row r="20">
      <c r="A20" s="5" t="n"/>
      <c r="B20" s="5" t="n"/>
      <c r="C20" s="5" t="n"/>
      <c r="D20" s="5" t="n"/>
      <c r="E20" s="5" t="n"/>
      <c r="F20" s="11" t="n"/>
      <c r="G20" s="5" t="n"/>
      <c r="H20" s="5" t="n"/>
      <c r="I20" s="5" t="n"/>
      <c r="J20" s="7">
        <f>IF(A20="","",C20/IF(F20="",1,F20))</f>
        <v/>
      </c>
      <c r="K20" s="6">
        <f>IF(A20="","",$B$11*IF(E20="",$B$6,E20)*IF(F20="",1,F20)/C20)</f>
        <v/>
      </c>
      <c r="L20" s="12">
        <f>IF(A20="","",$B$10/K20)</f>
        <v/>
      </c>
      <c r="M20" s="6">
        <f>IF(A20="","",H20/$B$10)</f>
        <v/>
      </c>
      <c r="N20" s="13">
        <f>IF(A20="","",B20*IF(E20="",$B$6,E20))</f>
        <v/>
      </c>
      <c r="O20" s="7">
        <f>IF(A20="","",$B$13)</f>
        <v/>
      </c>
      <c r="P20" s="14">
        <f>IF(A20="","",IF(L20&gt;1,"NÃO ATENDE A DEMANDA",IF(J20&gt;$B$13,"OK SÓ COM TURNO EXTRA","OK")))</f>
        <v/>
      </c>
    </row>
    <row r="21">
      <c r="A21" s="5" t="n"/>
      <c r="B21" s="5" t="n"/>
      <c r="C21" s="5" t="n"/>
      <c r="D21" s="5" t="n"/>
      <c r="E21" s="5" t="n"/>
      <c r="F21" s="11" t="n"/>
      <c r="G21" s="5" t="n"/>
      <c r="H21" s="5" t="n"/>
      <c r="I21" s="5" t="n"/>
      <c r="J21" s="7">
        <f>IF(A21="","",C21/IF(F21="",1,F21))</f>
        <v/>
      </c>
      <c r="K21" s="6">
        <f>IF(A21="","",$B$11*IF(E21="",$B$6,E21)*IF(F21="",1,F21)/C21)</f>
        <v/>
      </c>
      <c r="L21" s="12">
        <f>IF(A21="","",$B$10/K21)</f>
        <v/>
      </c>
      <c r="M21" s="6">
        <f>IF(A21="","",H21/$B$10)</f>
        <v/>
      </c>
      <c r="N21" s="13">
        <f>IF(A21="","",B21*IF(E21="",$B$6,E21))</f>
        <v/>
      </c>
      <c r="O21" s="7">
        <f>IF(A21="","",$B$13)</f>
        <v/>
      </c>
      <c r="P21" s="14">
        <f>IF(A21="","",IF(L21&gt;1,"NÃO ATENDE A DEMANDA",IF(J21&gt;$B$13,"OK SÓ COM TURNO EXTRA","OK")))</f>
        <v/>
      </c>
    </row>
    <row r="22">
      <c r="A22" s="5" t="n"/>
      <c r="B22" s="5" t="n"/>
      <c r="C22" s="5" t="n"/>
      <c r="D22" s="5" t="n"/>
      <c r="E22" s="5" t="n"/>
      <c r="F22" s="11" t="n"/>
      <c r="G22" s="5" t="n"/>
      <c r="H22" s="5" t="n"/>
      <c r="I22" s="5" t="n"/>
      <c r="J22" s="7">
        <f>IF(A22="","",C22/IF(F22="",1,F22))</f>
        <v/>
      </c>
      <c r="K22" s="6">
        <f>IF(A22="","",$B$11*IF(E22="",$B$6,E22)*IF(F22="",1,F22)/C22)</f>
        <v/>
      </c>
      <c r="L22" s="12">
        <f>IF(A22="","",$B$10/K22)</f>
        <v/>
      </c>
      <c r="M22" s="6">
        <f>IF(A22="","",H22/$B$10)</f>
        <v/>
      </c>
      <c r="N22" s="13">
        <f>IF(A22="","",B22*IF(E22="",$B$6,E22))</f>
        <v/>
      </c>
      <c r="O22" s="7">
        <f>IF(A22="","",$B$13)</f>
        <v/>
      </c>
      <c r="P22" s="14">
        <f>IF(A22="","",IF(L22&gt;1,"NÃO ATENDE A DEMANDA",IF(J22&gt;$B$13,"OK SÓ COM TURNO EXTRA","OK")))</f>
        <v/>
      </c>
    </row>
    <row r="23">
      <c r="A23" s="5" t="n"/>
      <c r="B23" s="5" t="n"/>
      <c r="C23" s="5" t="n"/>
      <c r="D23" s="5" t="n"/>
      <c r="E23" s="5" t="n"/>
      <c r="F23" s="11" t="n"/>
      <c r="G23" s="5" t="n"/>
      <c r="H23" s="5" t="n"/>
      <c r="I23" s="5" t="n"/>
      <c r="J23" s="7">
        <f>IF(A23="","",C23/IF(F23="",1,F23))</f>
        <v/>
      </c>
      <c r="K23" s="6">
        <f>IF(A23="","",$B$11*IF(E23="",$B$6,E23)*IF(F23="",1,F23)/C23)</f>
        <v/>
      </c>
      <c r="L23" s="12">
        <f>IF(A23="","",$B$10/K23)</f>
        <v/>
      </c>
      <c r="M23" s="6">
        <f>IF(A23="","",H23/$B$10)</f>
        <v/>
      </c>
      <c r="N23" s="13">
        <f>IF(A23="","",B23*IF(E23="",$B$6,E23))</f>
        <v/>
      </c>
      <c r="O23" s="7">
        <f>IF(A23="","",$B$13)</f>
        <v/>
      </c>
      <c r="P23" s="14">
        <f>IF(A23="","",IF(L23&gt;1,"NÃO ATENDE A DEMANDA",IF(J23&gt;$B$13,"OK SÓ COM TURNO EXTRA","OK")))</f>
        <v/>
      </c>
    </row>
    <row r="24">
      <c r="A24" s="5" t="n"/>
      <c r="B24" s="5" t="n"/>
      <c r="C24" s="5" t="n"/>
      <c r="D24" s="5" t="n"/>
      <c r="E24" s="5" t="n"/>
      <c r="F24" s="11" t="n"/>
      <c r="G24" s="5" t="n"/>
      <c r="H24" s="5" t="n"/>
      <c r="I24" s="5" t="n"/>
      <c r="J24" s="7">
        <f>IF(A24="","",C24/IF(F24="",1,F24))</f>
        <v/>
      </c>
      <c r="K24" s="6">
        <f>IF(A24="","",$B$11*IF(E24="",$B$6,E24)*IF(F24="",1,F24)/C24)</f>
        <v/>
      </c>
      <c r="L24" s="12">
        <f>IF(A24="","",$B$10/K24)</f>
        <v/>
      </c>
      <c r="M24" s="6">
        <f>IF(A24="","",H24/$B$10)</f>
        <v/>
      </c>
      <c r="N24" s="13">
        <f>IF(A24="","",B24*IF(E24="",$B$6,E24))</f>
        <v/>
      </c>
      <c r="O24" s="7">
        <f>IF(A24="","",$B$13)</f>
        <v/>
      </c>
      <c r="P24" s="14">
        <f>IF(A24="","",IF(L24&gt;1,"NÃO ATENDE A DEMANDA",IF(J24&gt;$B$13,"OK SÓ COM TURNO EXTRA","OK")))</f>
        <v/>
      </c>
    </row>
    <row r="25">
      <c r="A25" s="5" t="n"/>
      <c r="B25" s="5" t="n"/>
      <c r="C25" s="5" t="n"/>
      <c r="D25" s="5" t="n"/>
      <c r="E25" s="5" t="n"/>
      <c r="F25" s="11" t="n"/>
      <c r="G25" s="5" t="n"/>
      <c r="H25" s="5" t="n"/>
      <c r="I25" s="5" t="n"/>
      <c r="J25" s="7">
        <f>IF(A25="","",C25/IF(F25="",1,F25))</f>
        <v/>
      </c>
      <c r="K25" s="6">
        <f>IF(A25="","",$B$11*IF(E25="",$B$6,E25)*IF(F25="",1,F25)/C25)</f>
        <v/>
      </c>
      <c r="L25" s="12">
        <f>IF(A25="","",$B$10/K25)</f>
        <v/>
      </c>
      <c r="M25" s="6">
        <f>IF(A25="","",H25/$B$10)</f>
        <v/>
      </c>
      <c r="N25" s="13">
        <f>IF(A25="","",B25*IF(E25="",$B$6,E25))</f>
        <v/>
      </c>
      <c r="O25" s="7">
        <f>IF(A25="","",$B$13)</f>
        <v/>
      </c>
      <c r="P25" s="14">
        <f>IF(A25="","",IF(L25&gt;1,"NÃO ATENDE A DEMANDA",IF(J25&gt;$B$13,"OK SÓ COM TURNO EXTRA","OK")))</f>
        <v/>
      </c>
    </row>
    <row r="26">
      <c r="A26" s="5" t="n"/>
      <c r="B26" s="5" t="n"/>
      <c r="C26" s="5" t="n"/>
      <c r="D26" s="5" t="n"/>
      <c r="E26" s="5" t="n"/>
      <c r="F26" s="11" t="n"/>
      <c r="G26" s="5" t="n"/>
      <c r="H26" s="5" t="n"/>
      <c r="I26" s="5" t="n"/>
      <c r="J26" s="7">
        <f>IF(A26="","",C26/IF(F26="",1,F26))</f>
        <v/>
      </c>
      <c r="K26" s="6">
        <f>IF(A26="","",$B$11*IF(E26="",$B$6,E26)*IF(F26="",1,F26)/C26)</f>
        <v/>
      </c>
      <c r="L26" s="12">
        <f>IF(A26="","",$B$10/K26)</f>
        <v/>
      </c>
      <c r="M26" s="6">
        <f>IF(A26="","",H26/$B$10)</f>
        <v/>
      </c>
      <c r="N26" s="13">
        <f>IF(A26="","",B26*IF(E26="",$B$6,E26))</f>
        <v/>
      </c>
      <c r="O26" s="7">
        <f>IF(A26="","",$B$13)</f>
        <v/>
      </c>
      <c r="P26" s="14">
        <f>IF(A26="","",IF(L26&gt;1,"NÃO ATENDE A DEMANDA",IF(J26&gt;$B$13,"OK SÓ COM TURNO EXTRA","OK")))</f>
        <v/>
      </c>
    </row>
    <row r="29">
      <c r="A29" s="3" t="inlineStr">
        <is>
          <t>Resultado</t>
        </is>
      </c>
      <c r="B29" s="3" t="inlineStr">
        <is>
          <t>Valor</t>
        </is>
      </c>
      <c r="C29" s="3" t="inlineStr">
        <is>
          <t>Unidade</t>
        </is>
      </c>
    </row>
    <row r="30">
      <c r="A30" s="4" t="inlineStr">
        <is>
          <t>Lead time de produção</t>
        </is>
      </c>
      <c r="B30" s="15">
        <f>SUM(M17:M26)+B9/B10</f>
        <v/>
      </c>
      <c r="C30" s="4" t="inlineStr">
        <is>
          <t>dias</t>
        </is>
      </c>
    </row>
    <row r="31">
      <c r="A31" s="4" t="inlineStr">
        <is>
          <t>Tempo de processamento (TP = Σ TC)</t>
        </is>
      </c>
      <c r="B31" s="16">
        <f>SUM(C17:C26)</f>
        <v/>
      </c>
      <c r="C31" s="4" t="inlineStr">
        <is>
          <t>s</t>
        </is>
      </c>
    </row>
    <row r="32">
      <c r="A32" s="4" t="inlineStr">
        <is>
          <t>TP em horas</t>
        </is>
      </c>
      <c r="B32" s="15">
        <f>B31/3600</f>
        <v/>
      </c>
      <c r="C32" s="4" t="inlineStr">
        <is>
          <t>h</t>
        </is>
      </c>
    </row>
    <row r="33">
      <c r="A33" s="4" t="inlineStr">
        <is>
          <t>Tempo de valor agregado (Σ TC com "S")</t>
        </is>
      </c>
      <c r="B33" s="16">
        <f>SUMIF(I17:I26,"S",C17:C26)</f>
        <v/>
      </c>
      <c r="C33" s="4" t="inlineStr">
        <is>
          <t>s</t>
        </is>
      </c>
    </row>
    <row r="34">
      <c r="A34" s="4" t="inlineStr">
        <is>
          <t>PCE (LT em horas de trabalho)</t>
        </is>
      </c>
      <c r="B34" s="17">
        <f>B33/(B30*B12+B31)</f>
        <v/>
      </c>
      <c r="C34" s="4" t="inlineStr">
        <is>
          <t>%</t>
        </is>
      </c>
    </row>
    <row r="35">
      <c r="A35" s="4" t="inlineStr">
        <is>
          <t>PCE (LT em 24 h corridas)</t>
        </is>
      </c>
      <c r="B35" s="17">
        <f>B33/(B30*86400+B31)</f>
        <v/>
      </c>
      <c r="C35" s="4" t="inlineStr">
        <is>
          <t>%</t>
        </is>
      </c>
    </row>
    <row r="36">
      <c r="A36" s="4" t="inlineStr">
        <is>
          <t>Operadores teóricos (TP ÷ Takt)</t>
        </is>
      </c>
      <c r="B36" s="15">
        <f>B31/B13</f>
        <v/>
      </c>
      <c r="C36" s="4" t="inlineStr">
        <is>
          <t>operadores</t>
        </is>
      </c>
    </row>
    <row r="37">
      <c r="A37" s="4" t="inlineStr">
        <is>
          <t>Operadores necessários (arredondado)</t>
        </is>
      </c>
      <c r="B37" s="18">
        <f>ROUNDUP(B36,0)</f>
        <v/>
      </c>
      <c r="C37" s="4" t="inlineStr">
        <is>
          <t>operadores</t>
        </is>
      </c>
    </row>
    <row r="38">
      <c r="A38" s="4" t="inlineStr">
        <is>
          <t>Operadores atuais (op. × turnos)</t>
        </is>
      </c>
      <c r="B38" s="18">
        <f>SUM(N17:N26)</f>
        <v/>
      </c>
      <c r="C38" s="4" t="inlineStr">
        <is>
          <t>operadores</t>
        </is>
      </c>
    </row>
    <row r="39">
      <c r="A39" s="4" t="inlineStr">
        <is>
          <t>Peças por operador por mês</t>
        </is>
      </c>
      <c r="B39" s="19">
        <f>B4/B38</f>
        <v/>
      </c>
      <c r="C39" s="4" t="inlineStr">
        <is>
          <t>peças/op/mês</t>
        </is>
      </c>
    </row>
    <row r="40">
      <c r="A40" s="4" t="inlineStr">
        <is>
          <t>Gargalo (maior carga)</t>
        </is>
      </c>
      <c r="B40" s="20">
        <f>INDEX(A17:A26,MATCH(MAX(L17:L26),L17:L26,0))</f>
        <v/>
      </c>
      <c r="C40" s="4" t="inlineStr"/>
    </row>
    <row r="41">
      <c r="A41" s="4" t="inlineStr">
        <is>
          <t>Carga do gargalo</t>
        </is>
      </c>
      <c r="B41" s="21">
        <f>MAX(L17:L26)</f>
        <v/>
      </c>
      <c r="C41" s="4" t="inlineStr">
        <is>
          <t>%</t>
        </is>
      </c>
    </row>
    <row r="43">
      <c r="A43" s="2" t="inlineStr">
        <is>
          <t>Metas propostas: OEE 85%, lote 2, MP 2 dias (17), FIFO 4, supermercado 1 dia (9), produto acabado 1 dia (9). Ajuste nas células amarelas.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50" customWidth="1" min="3" max="3"/>
  </cols>
  <sheetData>
    <row r="1">
      <c r="A1" s="3" t="inlineStr">
        <is>
          <t>Indicador</t>
        </is>
      </c>
      <c r="B1" s="3" t="inlineStr">
        <is>
          <t>Fórmula</t>
        </is>
      </c>
      <c r="C1" s="3" t="inlineStr">
        <is>
          <t>Observação</t>
        </is>
      </c>
    </row>
    <row r="2">
      <c r="A2" s="4" t="inlineStr">
        <is>
          <t>Demanda diária</t>
        </is>
      </c>
      <c r="B2" s="4" t="inlineStr">
        <is>
          <t>Demanda mensal ÷ Dias úteis</t>
        </is>
      </c>
      <c r="C2" s="4" t="inlineStr"/>
    </row>
    <row r="3">
      <c r="A3" s="4" t="inlineStr">
        <is>
          <t>Tempo disponível</t>
        </is>
      </c>
      <c r="B3" s="4" t="inlineStr">
        <is>
          <t>Turnos × (Horas × 3600 − Pausas × 60)</t>
        </is>
      </c>
      <c r="C3" s="4" t="inlineStr">
        <is>
          <t>Segundos por dia</t>
        </is>
      </c>
    </row>
    <row r="4">
      <c r="A4" s="4" t="inlineStr">
        <is>
          <t>Takt time</t>
        </is>
      </c>
      <c r="B4" s="4" t="inlineStr">
        <is>
          <t>Tempo disponível ÷ Demanda diária</t>
        </is>
      </c>
      <c r="C4" s="4" t="inlineStr">
        <is>
          <t>Ritmo exigido pelo cliente (turnos da planta)</t>
        </is>
      </c>
    </row>
    <row r="5">
      <c r="A5" s="4" t="inlineStr">
        <is>
          <t>TC efetivo</t>
        </is>
      </c>
      <c r="B5" s="4" t="inlineStr">
        <is>
          <t>TC ÷ OEE</t>
        </is>
      </c>
      <c r="C5" s="4" t="inlineStr">
        <is>
          <t>Quanto o processo realmente leva, com as perdas</t>
        </is>
      </c>
    </row>
    <row r="6">
      <c r="A6" s="4" t="inlineStr">
        <is>
          <t>Capacidade</t>
        </is>
      </c>
      <c r="B6" s="4" t="inlineStr">
        <is>
          <t>Tempo do turno × Turnos do processo × OEE ÷ TC</t>
        </is>
      </c>
      <c r="C6" s="4" t="inlineStr">
        <is>
          <t>Peças por dia</t>
        </is>
      </c>
    </row>
    <row r="7">
      <c r="A7" s="4" t="inlineStr">
        <is>
          <t>Carga</t>
        </is>
      </c>
      <c r="B7" s="4" t="inlineStr">
        <is>
          <t>Demanda diária ÷ Capacidade</t>
        </is>
      </c>
      <c r="C7" s="4" t="inlineStr">
        <is>
          <t>&gt; 100% = não atende; gargalo = maior carga</t>
        </is>
      </c>
    </row>
    <row r="8">
      <c r="A8" s="4" t="inlineStr">
        <is>
          <t>Espera no estoque</t>
        </is>
      </c>
      <c r="B8" s="4" t="inlineStr">
        <is>
          <t>Estoque ÷ Demanda diária</t>
        </is>
      </c>
      <c r="C8" s="4" t="inlineStr">
        <is>
          <t>Dias (Lei de Little)</t>
        </is>
      </c>
    </row>
    <row r="9">
      <c r="A9" s="4" t="inlineStr">
        <is>
          <t>Lead time</t>
        </is>
      </c>
      <c r="B9" s="4" t="inlineStr">
        <is>
          <t>Σ esperas + produto acabado</t>
        </is>
      </c>
      <c r="C9" s="4" t="inlineStr">
        <is>
          <t>Dias</t>
        </is>
      </c>
    </row>
    <row r="10">
      <c r="A10" s="4" t="inlineStr">
        <is>
          <t>TP</t>
        </is>
      </c>
      <c r="B10" s="4" t="inlineStr">
        <is>
          <t>Σ TC</t>
        </is>
      </c>
      <c r="C10" s="4" t="inlineStr">
        <is>
          <t>Segundos</t>
        </is>
      </c>
    </row>
    <row r="11">
      <c r="A11" s="4" t="inlineStr">
        <is>
          <t>PCE</t>
        </is>
      </c>
      <c r="B11" s="4" t="inlineStr">
        <is>
          <t>Tempo VA ÷ Lead time</t>
        </is>
      </c>
      <c r="C11" s="4" t="inlineStr">
        <is>
          <t>Diga qual base usou: horas de trabalho ou 24 h</t>
        </is>
      </c>
    </row>
    <row r="12">
      <c r="A12" s="4" t="inlineStr">
        <is>
          <t>Operadores</t>
        </is>
      </c>
      <c r="B12" s="4" t="inlineStr">
        <is>
          <t>Σ TC ÷ Takt</t>
        </is>
      </c>
      <c r="C12" s="4" t="inlineStr">
        <is>
          <t>Arredondar para cima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2026-09-25T01:33:01Z</dcterms:created>
  <dcterms:modified xsi:type="dcterms:W3CDTF">2026-09-25T01:33:01Z</dcterms:modified>
</cp:coreProperties>
</file>