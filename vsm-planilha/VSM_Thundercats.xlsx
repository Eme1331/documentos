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kt Time" sheetId="1" state="visible" r:id="rId1"/>
    <sheet name="Takt Thundercats" sheetId="2" state="visible" r:id="rId2"/>
    <sheet name="Estado Atual" sheetId="3" state="visible" r:id="rId3"/>
    <sheet name="Estado Futuro" sheetId="4" state="visible" r:id="rId4"/>
    <sheet name="Fórmul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12">
    <font>
      <name val="Calibri"/>
      <family val="2"/>
      <color theme="1"/>
      <sz val="11"/>
      <scheme val="minor"/>
    </font>
    <font>
      <name val="Arial"/>
      <b val="1"/>
      <color rgb="00262626"/>
      <sz val="18"/>
    </font>
    <font>
      <name val="Arial"/>
      <sz val="8"/>
    </font>
    <font>
      <name val="Arial"/>
      <sz val="11"/>
    </font>
    <font>
      <name val="Arial"/>
      <sz val="9"/>
    </font>
    <font>
      <name val="Arial"/>
      <i val="1"/>
      <color rgb="00666666"/>
      <sz val="8"/>
    </font>
    <font>
      <name val="Arial"/>
      <b val="1"/>
      <sz val="14"/>
    </font>
    <font>
      <name val="Arial"/>
      <i val="1"/>
      <color rgb="00666666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</fonts>
  <fills count="8">
    <fill>
      <patternFill/>
    </fill>
    <fill>
      <patternFill patternType="gray125"/>
    </fill>
    <fill>
      <patternFill patternType="solid">
        <fgColor rgb="00E2EFB4"/>
      </patternFill>
    </fill>
    <fill>
      <patternFill patternType="solid">
        <fgColor rgb="00FFFFFF"/>
      </patternFill>
    </fill>
    <fill>
      <patternFill patternType="solid">
        <fgColor rgb="00EDEDED"/>
      </patternFill>
    </fill>
    <fill>
      <patternFill patternType="solid">
        <fgColor rgb="001A73E8"/>
      </patternFill>
    </fill>
    <fill>
      <patternFill patternType="solid">
        <fgColor rgb="00FFF2CC"/>
      </patternFill>
    </fill>
    <fill>
      <patternFill patternType="solid">
        <fgColor rgb="00EEEEEE"/>
      </patternFill>
    </fill>
  </fills>
  <borders count="1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 style="thin">
        <color rgb="00BFBFBF"/>
      </right>
      <top/>
      <bottom/>
      <diagonal/>
    </border>
    <border>
      <left style="thin">
        <color rgb="00BFBFBF"/>
      </left>
      <right/>
      <top/>
      <bottom style="thin">
        <color rgb="00BFBFBF"/>
      </bottom>
      <diagonal/>
    </border>
    <border>
      <left/>
      <right style="thin">
        <color rgb="00BFBFBF"/>
      </right>
      <top/>
      <bottom style="thin">
        <color rgb="00BFBFBF"/>
      </bottom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3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9" pivotButton="0" quotePrefix="0" xfId="0"/>
    <xf numFmtId="0" fontId="0" fillId="0" borderId="10" pivotButton="0" quotePrefix="0" xfId="0"/>
    <xf numFmtId="4" fontId="3" fillId="4" borderId="1" applyAlignment="1" pivotButton="0" quotePrefix="0" xfId="0">
      <alignment horizontal="center" vertical="center" wrapText="1"/>
    </xf>
    <xf numFmtId="4" fontId="4" fillId="3" borderId="1" applyAlignment="1" pivotButton="0" quotePrefix="0" xfId="0">
      <alignment horizontal="right" vertical="center"/>
    </xf>
    <xf numFmtId="4" fontId="3" fillId="4" borderId="1" applyAlignment="1" pivotButton="0" quotePrefix="0" xfId="0">
      <alignment horizontal="right" vertical="center"/>
    </xf>
    <xf numFmtId="4" fontId="4" fillId="4" borderId="1" applyAlignment="1" pivotButton="0" quotePrefix="0" xfId="0">
      <alignment horizontal="right" vertical="center"/>
    </xf>
    <xf numFmtId="9" fontId="4" fillId="4" borderId="1" applyAlignment="1" pivotButton="0" quotePrefix="0" xfId="0">
      <alignment horizontal="right" vertical="center"/>
    </xf>
    <xf numFmtId="9" fontId="3" fillId="4" borderId="1" applyAlignment="1" pivotButton="0" quotePrefix="0" xfId="0">
      <alignment horizontal="right"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5" borderId="1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6" borderId="11" pivotButton="0" quotePrefix="0" xfId="0"/>
    <xf numFmtId="2" fontId="9" fillId="0" borderId="11" pivotButton="0" quotePrefix="0" xfId="0"/>
    <xf numFmtId="3" fontId="9" fillId="0" borderId="11" pivotButton="0" quotePrefix="0" xfId="0"/>
    <xf numFmtId="0" fontId="11" fillId="0" borderId="0" pivotButton="0" quotePrefix="0" xfId="0"/>
    <xf numFmtId="164" fontId="11" fillId="0" borderId="11" pivotButton="0" quotePrefix="0" xfId="0"/>
    <xf numFmtId="165" fontId="9" fillId="0" borderId="0" pivotButton="0" quotePrefix="0" xfId="0"/>
    <xf numFmtId="9" fontId="10" fillId="6" borderId="11" pivotButton="0" quotePrefix="0" xfId="0"/>
    <xf numFmtId="9" fontId="9" fillId="0" borderId="11" pivotButton="0" quotePrefix="0" xfId="0"/>
    <xf numFmtId="1" fontId="9" fillId="0" borderId="11" pivotButton="0" quotePrefix="0" xfId="0"/>
    <xf numFmtId="0" fontId="9" fillId="0" borderId="11" pivotButton="0" quotePrefix="0" xfId="0"/>
    <xf numFmtId="2" fontId="11" fillId="7" borderId="11" pivotButton="0" quotePrefix="0" xfId="0"/>
    <xf numFmtId="3" fontId="11" fillId="7" borderId="11" pivotButton="0" quotePrefix="0" xfId="0"/>
    <xf numFmtId="10" fontId="11" fillId="7" borderId="11" pivotButton="0" quotePrefix="0" xfId="0"/>
    <xf numFmtId="1" fontId="11" fillId="7" borderId="11" pivotButton="0" quotePrefix="0" xfId="0"/>
    <xf numFmtId="165" fontId="11" fillId="7" borderId="11" pivotButton="0" quotePrefix="0" xfId="0"/>
    <xf numFmtId="0" fontId="11" fillId="7" borderId="11" pivotButton="0" quotePrefix="0" xfId="0"/>
    <xf numFmtId="9" fontId="11" fillId="7" borderId="1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DEMANDA DIÁRIA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BDD7EE"/>
            </a:solidFill>
            <a:ln>
              <a:solidFill>
                <a:srgbClr val="BDD7EE"/>
              </a:solidFill>
              <a:prstDash val="solid"/>
            </a:ln>
          </spPr>
          <cat>
            <numRef>
              <f>'Takt Time'!$B$8:$F$8</f>
            </numRef>
          </cat>
          <val>
            <numRef>
              <f>'Takt Time'!$B$10:$F$10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DEMANDA DIÁRIA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BDD7EE"/>
            </a:solidFill>
            <a:ln>
              <a:solidFill>
                <a:srgbClr val="BDD7EE"/>
              </a:solidFill>
              <a:prstDash val="solid"/>
            </a:ln>
          </spPr>
          <cat>
            <numRef>
              <f>'Takt Thundercats'!$B$8:$J$8</f>
            </numRef>
          </cat>
          <val>
            <numRef>
              <f>'Takt Thundercats'!$B$10:$J$10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Balanceamento: TC efetivo × Takt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'Estado Atual'!J16</f>
            </strRef>
          </tx>
          <spPr>
            <a:ln>
              <a:prstDash val="solid"/>
            </a:ln>
          </spPr>
          <cat>
            <numRef>
              <f>'Estado Atual'!$A$17:$A$20</f>
            </numRef>
          </cat>
          <val>
            <numRef>
              <f>'Estado Atual'!$J$17:$J$20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'Estado Atual'!O16</f>
            </strRef>
          </tx>
          <spPr>
            <a:ln>
              <a:solidFill>
                <a:srgbClr val="D930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'Estado Atual'!$O$17:$O$20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segundos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Balanceamento: TC efetivo × Takt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'Estado Futuro'!J16</f>
            </strRef>
          </tx>
          <spPr>
            <a:ln>
              <a:prstDash val="solid"/>
            </a:ln>
          </spPr>
          <cat>
            <numRef>
              <f>'Estado Futuro'!$A$17:$A$19</f>
            </numRef>
          </cat>
          <val>
            <numRef>
              <f>'Estado Futuro'!$J$17:$J$19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'Estado Futuro'!O16</f>
            </strRef>
          </tx>
          <spPr>
            <a:ln>
              <a:solidFill>
                <a:srgbClr val="D930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'Estado Futuro'!$O$17:$O$19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segundos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VSM</author>
  </authors>
  <commentList>
    <comment ref="G12" authorId="0" shapeId="0">
      <text>
        <t>Takt da linha inteira: minutos disponíveis ÷ demanda diária total (ritmo se todos os produtos saírem da mesma linha).</t>
      </text>
    </comment>
  </commentList>
</comments>
</file>

<file path=xl/comments/comment2.xml><?xml version="1.0" encoding="utf-8"?>
<comments xmlns="http://schemas.openxmlformats.org/spreadsheetml/2006/main">
  <authors>
    <author>VSM</author>
  </authors>
  <commentList>
    <comment ref="K12" authorId="0" shapeId="0">
      <text>
        <t>Takt da linha inteira: minutos disponíveis ÷ demanda diária total (ritmo se todos os produtos saírem da mesma linha).</t>
      </text>
    </comment>
    <comment ref="B13" authorId="0" shapeId="0">
      <text>
        <t>Σ TC do MFV Atual em minutos: (4080+3812+822+850)/60</t>
      </text>
    </comment>
  </commentList>
</comments>
</file>

<file path=xl/comments/comment3.xml><?xml version="1.0" encoding="utf-8"?>
<comments xmlns="http://schemas.openxmlformats.org/spreadsheetml/2006/main">
  <authors>
    <author>VSM</author>
  </authors>
  <commentList>
    <comment ref="A20" authorId="0" shapeId="0">
      <text>
        <t>Prova não informa pausas: considerado 0 min (8,8 h líquidas).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8064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12672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Modelo de Takt Time de VSM</t>
        </is>
      </c>
    </row>
    <row r="2">
      <c r="A2" s="2" t="inlineStr">
        <is>
          <t>Takt Time é o tempo total de produção (minutos)/demanda média (unidades). Preencha as células não sombreadas; isso preencherá as células sombreadas.</t>
        </is>
      </c>
    </row>
    <row r="4">
      <c r="A4" s="3" t="inlineStr">
        <is>
          <t>TEMPO DISPONÍVEL</t>
        </is>
      </c>
      <c r="B4" s="3" t="inlineStr">
        <is>
          <t>TEMPO TOTAL</t>
        </is>
      </c>
      <c r="C4" s="4" t="n"/>
      <c r="D4" s="3" t="inlineStr">
        <is>
          <t>INTERVALOS (min)</t>
        </is>
      </c>
      <c r="E4" s="3" t="inlineStr">
        <is>
          <t>LIMPEZA (min)</t>
        </is>
      </c>
      <c r="F4" s="3" t="inlineStr">
        <is>
          <t>MINUTOS DISPONÍVEIS</t>
        </is>
      </c>
      <c r="G4" s="5" t="n"/>
    </row>
    <row r="5">
      <c r="A5" s="3" t="inlineStr">
        <is>
          <t>DIAS POR ANO</t>
        </is>
      </c>
      <c r="B5" s="6" t="n">
        <v>221</v>
      </c>
      <c r="C5" s="4" t="n"/>
      <c r="D5" s="7" t="n"/>
      <c r="E5" s="7" t="n"/>
      <c r="F5" s="8" t="n"/>
      <c r="G5" s="9" t="n"/>
    </row>
    <row r="6">
      <c r="A6" s="3" t="inlineStr">
        <is>
          <t>HORAS POR DIA</t>
        </is>
      </c>
      <c r="B6" s="6" t="n">
        <v>8</v>
      </c>
      <c r="C6" s="4" t="n"/>
      <c r="D6" s="6" t="n">
        <v>30</v>
      </c>
      <c r="E6" s="6" t="n">
        <v>10</v>
      </c>
      <c r="F6" s="10">
        <f>B6*60-D6-E6</f>
        <v/>
      </c>
      <c r="G6" s="4" t="n"/>
    </row>
    <row r="8" ht="24" customHeight="1">
      <c r="A8" s="3" t="inlineStr">
        <is>
          <t>TAKT TIME</t>
        </is>
      </c>
      <c r="B8" s="3" t="inlineStr">
        <is>
          <t>PRODUTO 1</t>
        </is>
      </c>
      <c r="C8" s="3" t="inlineStr">
        <is>
          <t>PRODUTO 2</t>
        </is>
      </c>
      <c r="D8" s="3" t="inlineStr">
        <is>
          <t>PRODUTO 3</t>
        </is>
      </c>
      <c r="E8" s="3" t="inlineStr">
        <is>
          <t>PRODUTO 4</t>
        </is>
      </c>
      <c r="F8" s="3" t="inlineStr">
        <is>
          <t>PRODUTO 5</t>
        </is>
      </c>
      <c r="G8" s="3" t="inlineStr">
        <is>
          <t>TOTAIS</t>
        </is>
      </c>
    </row>
    <row r="9">
      <c r="A9" s="3" t="inlineStr">
        <is>
          <t>Demanda anual</t>
        </is>
      </c>
      <c r="B9" s="11" t="n">
        <v>50000</v>
      </c>
      <c r="C9" s="11" t="n">
        <v>100000</v>
      </c>
      <c r="D9" s="11" t="n">
        <v>100000</v>
      </c>
      <c r="E9" s="11" t="n">
        <v>50000</v>
      </c>
      <c r="F9" s="11" t="n">
        <v>50000</v>
      </c>
      <c r="G9" s="12">
        <f>SUM(B9:F9)</f>
        <v/>
      </c>
    </row>
    <row r="10">
      <c r="A10" s="3" t="inlineStr">
        <is>
          <t>Demanda diária</t>
        </is>
      </c>
      <c r="B10" s="13">
        <f>IF(B9="","",B9/$B$5)</f>
        <v/>
      </c>
      <c r="C10" s="13">
        <f>IF(C9="","",C9/$B$5)</f>
        <v/>
      </c>
      <c r="D10" s="13">
        <f>IF(D9="","",D9/$B$5)</f>
        <v/>
      </c>
      <c r="E10" s="13">
        <f>IF(E9="","",E9/$B$5)</f>
        <v/>
      </c>
      <c r="F10" s="13">
        <f>IF(F9="","",F9/$B$5)</f>
        <v/>
      </c>
      <c r="G10" s="12">
        <f>SUM(B10:F10)</f>
        <v/>
      </c>
    </row>
    <row r="11">
      <c r="A11" s="3" t="inlineStr">
        <is>
          <t>Percentual do total de vendas</t>
        </is>
      </c>
      <c r="B11" s="14">
        <f>IF(B9="","",B9/$G$9)</f>
        <v/>
      </c>
      <c r="C11" s="14">
        <f>IF(C9="","",C9/$G$9)</f>
        <v/>
      </c>
      <c r="D11" s="14">
        <f>IF(D9="","",D9/$G$9)</f>
        <v/>
      </c>
      <c r="E11" s="14">
        <f>IF(E9="","",E9/$G$9)</f>
        <v/>
      </c>
      <c r="F11" s="14">
        <f>IF(F9="","",F9/$G$9)</f>
        <v/>
      </c>
      <c r="G11" s="15">
        <f>SUM(B11:F11)</f>
        <v/>
      </c>
    </row>
    <row r="12">
      <c r="A12" s="3" t="inlineStr">
        <is>
          <t>Takt time (minutos por unidade)</t>
        </is>
      </c>
      <c r="B12" s="13">
        <f>IF(B9="","",$F$6/B10)</f>
        <v/>
      </c>
      <c r="C12" s="13">
        <f>IF(C9="","",$F$6/C10)</f>
        <v/>
      </c>
      <c r="D12" s="13">
        <f>IF(D9="","",$F$6/D10)</f>
        <v/>
      </c>
      <c r="E12" s="13">
        <f>IF(E9="","",$F$6/E10)</f>
        <v/>
      </c>
      <c r="F12" s="13">
        <f>IF(F9="","",$F$6/F10)</f>
        <v/>
      </c>
      <c r="G12" s="12">
        <f>$F$6/G10</f>
        <v/>
      </c>
    </row>
    <row r="13">
      <c r="A13" s="3" t="inlineStr">
        <is>
          <t>Tempo de ciclo por operador (min)</t>
        </is>
      </c>
      <c r="B13" s="11" t="n">
        <v>5</v>
      </c>
      <c r="C13" s="11" t="n">
        <v>4</v>
      </c>
      <c r="D13" s="11" t="n">
        <v>2.5</v>
      </c>
      <c r="E13" s="11" t="n">
        <v>2</v>
      </c>
      <c r="F13" s="11" t="n">
        <v>6</v>
      </c>
      <c r="G13" s="12">
        <f>SUM(B13:F13)</f>
        <v/>
      </c>
    </row>
    <row r="14">
      <c r="A14" s="3" t="inlineStr">
        <is>
          <t>Quantidade de operadores</t>
        </is>
      </c>
      <c r="B14" s="13">
        <f>IF(OR(B13="",B12=""),"",B13/B12)</f>
        <v/>
      </c>
      <c r="C14" s="13">
        <f>IF(OR(C13="",C12=""),"",C13/C12)</f>
        <v/>
      </c>
      <c r="D14" s="13">
        <f>IF(OR(D13="",D12=""),"",D13/D12)</f>
        <v/>
      </c>
      <c r="E14" s="13">
        <f>IF(OR(E13="",E12=""),"",E13/E12)</f>
        <v/>
      </c>
      <c r="F14" s="13">
        <f>IF(OR(F13="",F12=""),"",F13/F12)</f>
        <v/>
      </c>
      <c r="G14" s="12">
        <f>SUM(B14:F14)</f>
        <v/>
      </c>
    </row>
  </sheetData>
  <mergeCells count="61">
    <mergeCell ref="A8"/>
    <mergeCell ref="C8"/>
    <mergeCell ref="D12"/>
    <mergeCell ref="B9"/>
    <mergeCell ref="A4"/>
    <mergeCell ref="D9"/>
    <mergeCell ref="F9"/>
    <mergeCell ref="E4:E5"/>
    <mergeCell ref="D8"/>
    <mergeCell ref="F6:G6"/>
    <mergeCell ref="A10"/>
    <mergeCell ref="A13"/>
    <mergeCell ref="D14"/>
    <mergeCell ref="C13"/>
    <mergeCell ref="F14"/>
    <mergeCell ref="G9"/>
    <mergeCell ref="A9"/>
    <mergeCell ref="E12"/>
    <mergeCell ref="G12"/>
    <mergeCell ref="D4:D5"/>
    <mergeCell ref="F11"/>
    <mergeCell ref="D10"/>
    <mergeCell ref="G11"/>
    <mergeCell ref="F10"/>
    <mergeCell ref="C14"/>
    <mergeCell ref="A11"/>
    <mergeCell ref="E14"/>
    <mergeCell ref="A6"/>
    <mergeCell ref="F4:G5"/>
    <mergeCell ref="E8"/>
    <mergeCell ref="G8"/>
    <mergeCell ref="B12"/>
    <mergeCell ref="F12"/>
    <mergeCell ref="D6"/>
    <mergeCell ref="B11"/>
    <mergeCell ref="D11"/>
    <mergeCell ref="C10"/>
    <mergeCell ref="E10"/>
    <mergeCell ref="D13"/>
    <mergeCell ref="B14"/>
    <mergeCell ref="E13"/>
    <mergeCell ref="G10"/>
    <mergeCell ref="C9"/>
    <mergeCell ref="G13"/>
    <mergeCell ref="B8"/>
    <mergeCell ref="B6:C6"/>
    <mergeCell ref="E9"/>
    <mergeCell ref="F8"/>
    <mergeCell ref="A12"/>
    <mergeCell ref="B13"/>
    <mergeCell ref="C12"/>
    <mergeCell ref="B5:C5"/>
    <mergeCell ref="E6"/>
    <mergeCell ref="C11"/>
    <mergeCell ref="B10"/>
    <mergeCell ref="E11"/>
    <mergeCell ref="A14"/>
    <mergeCell ref="G14"/>
    <mergeCell ref="B4:C4"/>
    <mergeCell ref="A5"/>
    <mergeCell ref="F13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Takt Time — Thundercats Painéis</t>
        </is>
      </c>
    </row>
    <row r="2">
      <c r="A2" s="2" t="inlineStr">
        <is>
          <t>Takt Time é o tempo total de produção (minutos)/demanda média (unidades). Preencha as células não sombreadas; isso preencherá as células sombreadas.</t>
        </is>
      </c>
    </row>
    <row r="4">
      <c r="A4" s="3" t="inlineStr">
        <is>
          <t>TEMPO DISPONÍVEL</t>
        </is>
      </c>
      <c r="B4" s="3" t="inlineStr">
        <is>
          <t>TEMPO TOTAL</t>
        </is>
      </c>
      <c r="C4" s="4" t="n"/>
      <c r="D4" s="3" t="inlineStr">
        <is>
          <t>INTERVALOS (min)</t>
        </is>
      </c>
      <c r="E4" s="3" t="inlineStr">
        <is>
          <t>LIMPEZA (min)</t>
        </is>
      </c>
      <c r="F4" s="3" t="inlineStr">
        <is>
          <t>MINUTOS DISPONÍVEIS</t>
        </is>
      </c>
      <c r="G4" s="5" t="n"/>
    </row>
    <row r="5">
      <c r="A5" s="3" t="inlineStr">
        <is>
          <t>DIAS POR MÊS</t>
        </is>
      </c>
      <c r="B5" s="6" t="n">
        <v>20</v>
      </c>
      <c r="C5" s="4" t="n"/>
      <c r="D5" s="7" t="n"/>
      <c r="E5" s="7" t="n"/>
      <c r="F5" s="8" t="n"/>
      <c r="G5" s="9" t="n"/>
    </row>
    <row r="6">
      <c r="A6" s="3" t="inlineStr">
        <is>
          <t>HORAS POR DIA</t>
        </is>
      </c>
      <c r="B6" s="6" t="n">
        <v>8.800000000000001</v>
      </c>
      <c r="C6" s="4" t="n"/>
      <c r="D6" s="6" t="n">
        <v>0</v>
      </c>
      <c r="E6" s="6" t="n">
        <v>0</v>
      </c>
      <c r="F6" s="10">
        <f>B6*60-D6-E6</f>
        <v/>
      </c>
      <c r="G6" s="4" t="n"/>
    </row>
    <row r="8" ht="24" customHeight="1">
      <c r="A8" s="3" t="inlineStr">
        <is>
          <t>TAKT TIME</t>
        </is>
      </c>
      <c r="B8" s="3" t="inlineStr">
        <is>
          <t>Lion</t>
        </is>
      </c>
      <c r="C8" s="3" t="inlineStr">
        <is>
          <t>Panthro</t>
        </is>
      </c>
      <c r="D8" s="3" t="inlineStr">
        <is>
          <t>Cheetara</t>
        </is>
      </c>
      <c r="E8" s="3" t="inlineStr">
        <is>
          <t>Tygra</t>
        </is>
      </c>
      <c r="F8" s="3" t="inlineStr">
        <is>
          <t>Snarf</t>
        </is>
      </c>
      <c r="G8" s="3" t="inlineStr">
        <is>
          <t>WillyKit</t>
        </is>
      </c>
      <c r="H8" s="3" t="inlineStr">
        <is>
          <t>WillyKat</t>
        </is>
      </c>
      <c r="I8" s="3" t="inlineStr">
        <is>
          <t>Jaga</t>
        </is>
      </c>
      <c r="J8" s="3" t="inlineStr">
        <is>
          <t>Mumm-Ra</t>
        </is>
      </c>
      <c r="K8" s="3" t="inlineStr">
        <is>
          <t>TOTAIS</t>
        </is>
      </c>
    </row>
    <row r="9">
      <c r="A9" s="3" t="inlineStr">
        <is>
          <t>Demanda mensal</t>
        </is>
      </c>
      <c r="B9" s="11" t="n">
        <v>170</v>
      </c>
      <c r="C9" s="11" t="n">
        <v>50</v>
      </c>
      <c r="D9" s="11" t="n">
        <v>99</v>
      </c>
      <c r="E9" s="11" t="n">
        <v>127</v>
      </c>
      <c r="F9" s="11" t="n">
        <v>110</v>
      </c>
      <c r="G9" s="11" t="n">
        <v>82</v>
      </c>
      <c r="H9" s="11" t="n">
        <v>82</v>
      </c>
      <c r="I9" s="11" t="n">
        <v>75</v>
      </c>
      <c r="J9" s="11" t="n">
        <v>55</v>
      </c>
      <c r="K9" s="12">
        <f>SUM(B9:J9)</f>
        <v/>
      </c>
    </row>
    <row r="10">
      <c r="A10" s="3" t="inlineStr">
        <is>
          <t>Demanda diária</t>
        </is>
      </c>
      <c r="B10" s="13">
        <f>IF(B9="","",B9/$B$5)</f>
        <v/>
      </c>
      <c r="C10" s="13">
        <f>IF(C9="","",C9/$B$5)</f>
        <v/>
      </c>
      <c r="D10" s="13">
        <f>IF(D9="","",D9/$B$5)</f>
        <v/>
      </c>
      <c r="E10" s="13">
        <f>IF(E9="","",E9/$B$5)</f>
        <v/>
      </c>
      <c r="F10" s="13">
        <f>IF(F9="","",F9/$B$5)</f>
        <v/>
      </c>
      <c r="G10" s="13">
        <f>IF(G9="","",G9/$B$5)</f>
        <v/>
      </c>
      <c r="H10" s="13">
        <f>IF(H9="","",H9/$B$5)</f>
        <v/>
      </c>
      <c r="I10" s="13">
        <f>IF(I9="","",I9/$B$5)</f>
        <v/>
      </c>
      <c r="J10" s="13">
        <f>IF(J9="","",J9/$B$5)</f>
        <v/>
      </c>
      <c r="K10" s="12">
        <f>SUM(B10:J10)</f>
        <v/>
      </c>
    </row>
    <row r="11">
      <c r="A11" s="3" t="inlineStr">
        <is>
          <t>Percentual do total de vendas</t>
        </is>
      </c>
      <c r="B11" s="14">
        <f>IF(B9="","",B9/$K$9)</f>
        <v/>
      </c>
      <c r="C11" s="14">
        <f>IF(C9="","",C9/$K$9)</f>
        <v/>
      </c>
      <c r="D11" s="14">
        <f>IF(D9="","",D9/$K$9)</f>
        <v/>
      </c>
      <c r="E11" s="14">
        <f>IF(E9="","",E9/$K$9)</f>
        <v/>
      </c>
      <c r="F11" s="14">
        <f>IF(F9="","",F9/$K$9)</f>
        <v/>
      </c>
      <c r="G11" s="14">
        <f>IF(G9="","",G9/$K$9)</f>
        <v/>
      </c>
      <c r="H11" s="14">
        <f>IF(H9="","",H9/$K$9)</f>
        <v/>
      </c>
      <c r="I11" s="14">
        <f>IF(I9="","",I9/$K$9)</f>
        <v/>
      </c>
      <c r="J11" s="14">
        <f>IF(J9="","",J9/$K$9)</f>
        <v/>
      </c>
      <c r="K11" s="15">
        <f>SUM(B11:J11)</f>
        <v/>
      </c>
    </row>
    <row r="12">
      <c r="A12" s="3" t="inlineStr">
        <is>
          <t>Takt time (minutos por unidade)</t>
        </is>
      </c>
      <c r="B12" s="13">
        <f>IF(B9="","",$F$6/B10)</f>
        <v/>
      </c>
      <c r="C12" s="13">
        <f>IF(C9="","",$F$6/C10)</f>
        <v/>
      </c>
      <c r="D12" s="13">
        <f>IF(D9="","",$F$6/D10)</f>
        <v/>
      </c>
      <c r="E12" s="13">
        <f>IF(E9="","",$F$6/E10)</f>
        <v/>
      </c>
      <c r="F12" s="13">
        <f>IF(F9="","",$F$6/F10)</f>
        <v/>
      </c>
      <c r="G12" s="13">
        <f>IF(G9="","",$F$6/G10)</f>
        <v/>
      </c>
      <c r="H12" s="13">
        <f>IF(H9="","",$F$6/H10)</f>
        <v/>
      </c>
      <c r="I12" s="13">
        <f>IF(I9="","",$F$6/I10)</f>
        <v/>
      </c>
      <c r="J12" s="13">
        <f>IF(J9="","",$F$6/J10)</f>
        <v/>
      </c>
      <c r="K12" s="12">
        <f>$F$6/K10</f>
        <v/>
      </c>
    </row>
    <row r="13">
      <c r="A13" s="3" t="inlineStr">
        <is>
          <t>Tempo de ciclo por operador (min)</t>
        </is>
      </c>
      <c r="B13" s="11">
        <f>9564/60</f>
        <v/>
      </c>
      <c r="C13" s="11" t="n"/>
      <c r="D13" s="11" t="n"/>
      <c r="E13" s="11" t="n"/>
      <c r="F13" s="11" t="n"/>
      <c r="G13" s="11" t="n"/>
      <c r="H13" s="11" t="n"/>
      <c r="I13" s="11" t="n"/>
      <c r="J13" s="11" t="n"/>
      <c r="K13" s="12">
        <f>SUM(B13:J13)</f>
        <v/>
      </c>
    </row>
    <row r="14">
      <c r="A14" s="3" t="inlineStr">
        <is>
          <t>Quantidade de operadores</t>
        </is>
      </c>
      <c r="B14" s="13">
        <f>IF(OR(B13="",B12=""),"",B13/B12)</f>
        <v/>
      </c>
      <c r="C14" s="13">
        <f>IF(OR(C13="",C12=""),"",C13/C12)</f>
        <v/>
      </c>
      <c r="D14" s="13">
        <f>IF(OR(D13="",D12=""),"",D13/D12)</f>
        <v/>
      </c>
      <c r="E14" s="13">
        <f>IF(OR(E13="",E12=""),"",E13/E12)</f>
        <v/>
      </c>
      <c r="F14" s="13">
        <f>IF(OR(F13="",F12=""),"",F13/F12)</f>
        <v/>
      </c>
      <c r="G14" s="13">
        <f>IF(OR(G13="",G12=""),"",G13/G12)</f>
        <v/>
      </c>
      <c r="H14" s="13">
        <f>IF(OR(H13="",H12=""),"",H13/H12)</f>
        <v/>
      </c>
      <c r="I14" s="13">
        <f>IF(OR(I13="",I12=""),"",I13/I12)</f>
        <v/>
      </c>
      <c r="J14" s="13">
        <f>IF(OR(J13="",J12=""),"",J13/J12)</f>
        <v/>
      </c>
      <c r="K14" s="12">
        <f>SUM(B14:J14)</f>
        <v/>
      </c>
    </row>
    <row r="32">
      <c r="A32" s="16" t="inlineStr">
        <is>
          <t>Tempo de ciclo do Lion = soma dos TCs do MFV (4080 + 3812 + 822 + 850 s = 159,4 min). A prova não dá TC das outras famílias. Detalhe por processo na aba Estado Atual.</t>
        </is>
      </c>
    </row>
  </sheetData>
  <mergeCells count="89">
    <mergeCell ref="I8"/>
    <mergeCell ref="D12"/>
    <mergeCell ref="A4"/>
    <mergeCell ref="D9"/>
    <mergeCell ref="F9"/>
    <mergeCell ref="D14"/>
    <mergeCell ref="I10"/>
    <mergeCell ref="F14"/>
    <mergeCell ref="K10"/>
    <mergeCell ref="J14"/>
    <mergeCell ref="K9"/>
    <mergeCell ref="J13"/>
    <mergeCell ref="A6"/>
    <mergeCell ref="F4:G5"/>
    <mergeCell ref="F12"/>
    <mergeCell ref="K11"/>
    <mergeCell ref="C9"/>
    <mergeCell ref="B8"/>
    <mergeCell ref="E9"/>
    <mergeCell ref="I12"/>
    <mergeCell ref="K12"/>
    <mergeCell ref="E6"/>
    <mergeCell ref="C11"/>
    <mergeCell ref="B10"/>
    <mergeCell ref="E11"/>
    <mergeCell ref="K8"/>
    <mergeCell ref="G14"/>
    <mergeCell ref="A5"/>
    <mergeCell ref="I14"/>
    <mergeCell ref="K14"/>
    <mergeCell ref="B9"/>
    <mergeCell ref="E4:E5"/>
    <mergeCell ref="F6:G6"/>
    <mergeCell ref="A13"/>
    <mergeCell ref="C13"/>
    <mergeCell ref="F11"/>
    <mergeCell ref="E8"/>
    <mergeCell ref="H9"/>
    <mergeCell ref="G8"/>
    <mergeCell ref="B12"/>
    <mergeCell ref="J9"/>
    <mergeCell ref="C10"/>
    <mergeCell ref="E10"/>
    <mergeCell ref="B14"/>
    <mergeCell ref="G10"/>
    <mergeCell ref="B6:C6"/>
    <mergeCell ref="B13"/>
    <mergeCell ref="F13"/>
    <mergeCell ref="H13"/>
    <mergeCell ref="D8"/>
    <mergeCell ref="I13"/>
    <mergeCell ref="K13"/>
    <mergeCell ref="H8"/>
    <mergeCell ref="J8"/>
    <mergeCell ref="E12"/>
    <mergeCell ref="G12"/>
    <mergeCell ref="C14"/>
    <mergeCell ref="H10"/>
    <mergeCell ref="E14"/>
    <mergeCell ref="J10"/>
    <mergeCell ref="D6"/>
    <mergeCell ref="B11"/>
    <mergeCell ref="D11"/>
    <mergeCell ref="D13"/>
    <mergeCell ref="B5:C5"/>
    <mergeCell ref="B4:C4"/>
    <mergeCell ref="A8"/>
    <mergeCell ref="C8"/>
    <mergeCell ref="H12"/>
    <mergeCell ref="J12"/>
    <mergeCell ref="A10"/>
    <mergeCell ref="H14"/>
    <mergeCell ref="G9"/>
    <mergeCell ref="I9"/>
    <mergeCell ref="A9"/>
    <mergeCell ref="D4:D5"/>
    <mergeCell ref="D10"/>
    <mergeCell ref="G11"/>
    <mergeCell ref="F10"/>
    <mergeCell ref="I11"/>
    <mergeCell ref="A11"/>
    <mergeCell ref="E13"/>
    <mergeCell ref="G13"/>
    <mergeCell ref="F8"/>
    <mergeCell ref="A12"/>
    <mergeCell ref="C12"/>
    <mergeCell ref="H11"/>
    <mergeCell ref="J11"/>
    <mergeCell ref="A14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pane xSplit="1" ySplit="16" topLeftCell="B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8" customWidth="1" min="4" max="4"/>
    <col width="12" customWidth="1" min="5" max="5"/>
    <col width="14" customWidth="1" min="6" max="6"/>
    <col width="10" customWidth="1" min="7" max="7"/>
    <col width="12" customWidth="1" min="8" max="8"/>
    <col width="10" customWidth="1" min="9" max="9"/>
    <col width="14" customWidth="1" min="10" max="10"/>
    <col width="13" customWidth="1" min="11" max="11"/>
    <col width="14" customWidth="1" min="12" max="12"/>
    <col width="12" customWidth="1" min="13" max="13"/>
    <col width="12" customWidth="1" min="14" max="14"/>
    <col width="10" customWidth="1" min="15" max="15"/>
    <col width="24" customWidth="1" min="16" max="16"/>
  </cols>
  <sheetData>
    <row r="1">
      <c r="A1" s="17" t="inlineStr">
        <is>
          <t>MFV Estado Atual — Thundercats Painéis (família Lion)</t>
        </is>
      </c>
    </row>
    <row r="2">
      <c r="A2" s="18" t="inlineStr">
        <is>
          <t>Células amarelas com texto azul = dados de entrada. O resto é fórmula e recalcula sozinho.</t>
        </is>
      </c>
    </row>
    <row r="3">
      <c r="A3" s="19" t="inlineStr">
        <is>
          <t>Parâmetro</t>
        </is>
      </c>
      <c r="B3" s="19" t="inlineStr">
        <is>
          <t>Valor</t>
        </is>
      </c>
      <c r="C3" s="19" t="inlineStr">
        <is>
          <t>Unidade</t>
        </is>
      </c>
    </row>
    <row r="4">
      <c r="A4" s="20" t="inlineStr">
        <is>
          <t>Demanda mensal</t>
        </is>
      </c>
      <c r="B4" s="21" t="n">
        <v>170</v>
      </c>
      <c r="C4" s="20" t="inlineStr">
        <is>
          <t>peças/mês</t>
        </is>
      </c>
    </row>
    <row r="5">
      <c r="A5" s="20" t="inlineStr">
        <is>
          <t>Dias úteis</t>
        </is>
      </c>
      <c r="B5" s="21" t="n">
        <v>20</v>
      </c>
      <c r="C5" s="20" t="inlineStr">
        <is>
          <t>dias/mês</t>
        </is>
      </c>
    </row>
    <row r="6">
      <c r="A6" s="20" t="inlineStr">
        <is>
          <t>Turnos da planta</t>
        </is>
      </c>
      <c r="B6" s="21" t="n">
        <v>1</v>
      </c>
      <c r="C6" s="20" t="inlineStr">
        <is>
          <t>turnos/dia</t>
        </is>
      </c>
    </row>
    <row r="7">
      <c r="A7" s="20" t="inlineStr">
        <is>
          <t>Horas por turno</t>
        </is>
      </c>
      <c r="B7" s="21" t="n">
        <v>8.800000000000001</v>
      </c>
      <c r="C7" s="20" t="inlineStr">
        <is>
          <t>h</t>
        </is>
      </c>
    </row>
    <row r="8">
      <c r="A8" s="20" t="inlineStr">
        <is>
          <t>Pausas por turno</t>
        </is>
      </c>
      <c r="B8" s="21" t="n">
        <v>0</v>
      </c>
      <c r="C8" s="20" t="inlineStr">
        <is>
          <t>min</t>
        </is>
      </c>
    </row>
    <row r="9">
      <c r="A9" s="20" t="inlineStr">
        <is>
          <t>Estoque de produto acabado (antes da expedição)</t>
        </is>
      </c>
      <c r="B9" s="21" t="n">
        <v>10</v>
      </c>
      <c r="C9" s="20" t="inlineStr">
        <is>
          <t>peças</t>
        </is>
      </c>
    </row>
    <row r="10">
      <c r="A10" s="20" t="inlineStr">
        <is>
          <t>Demanda diária</t>
        </is>
      </c>
      <c r="B10" s="22">
        <f>B4/B5</f>
        <v/>
      </c>
      <c r="C10" s="20" t="inlineStr">
        <is>
          <t>peças/dia</t>
        </is>
      </c>
    </row>
    <row r="11">
      <c r="A11" s="20" t="inlineStr">
        <is>
          <t>Tempo disponível por turno</t>
        </is>
      </c>
      <c r="B11" s="23">
        <f>B7*3600-B8*60</f>
        <v/>
      </c>
      <c r="C11" s="20" t="inlineStr">
        <is>
          <t>s</t>
        </is>
      </c>
    </row>
    <row r="12">
      <c r="A12" s="20" t="inlineStr">
        <is>
          <t>Tempo disponível por dia (planta)</t>
        </is>
      </c>
      <c r="B12" s="23">
        <f>B6*B11</f>
        <v/>
      </c>
      <c r="C12" s="20" t="inlineStr">
        <is>
          <t>s/dia</t>
        </is>
      </c>
    </row>
    <row r="13">
      <c r="A13" s="24" t="inlineStr">
        <is>
          <t>TAKT TIME</t>
        </is>
      </c>
      <c r="B13" s="25">
        <f>B12/B10</f>
        <v/>
      </c>
      <c r="C13" s="20" t="inlineStr">
        <is>
          <t>s/peça</t>
        </is>
      </c>
    </row>
    <row r="14">
      <c r="A14" s="20" t="inlineStr">
        <is>
          <t>Takt em minutos</t>
        </is>
      </c>
      <c r="B14" s="26">
        <f>B13/60</f>
        <v/>
      </c>
      <c r="C14" s="20" t="inlineStr">
        <is>
          <t>min/peça</t>
        </is>
      </c>
    </row>
    <row r="16" ht="48" customHeight="1">
      <c r="A16" s="19" t="inlineStr">
        <is>
          <t>Processo</t>
        </is>
      </c>
      <c r="B16" s="19" t="inlineStr">
        <is>
          <t>Operadores</t>
        </is>
      </c>
      <c r="C16" s="19" t="inlineStr">
        <is>
          <t>Tempo de ciclo TC (s)</t>
        </is>
      </c>
      <c r="D16" s="19" t="inlineStr">
        <is>
          <t>Lote</t>
        </is>
      </c>
      <c r="E16" s="19" t="inlineStr">
        <is>
          <t>Turnos (vazio = planta)</t>
        </is>
      </c>
      <c r="F16" s="19" t="inlineStr">
        <is>
          <t>OEE / Disponib. (vazio = 100%)</t>
        </is>
      </c>
      <c r="G16" s="19" t="inlineStr">
        <is>
          <t>Setup TR (s)</t>
        </is>
      </c>
      <c r="H16" s="19" t="inlineStr">
        <is>
          <t>Estoque ANTES (peças)</t>
        </is>
      </c>
      <c r="I16" s="19" t="inlineStr">
        <is>
          <t>Agrega valor? (S/N)</t>
        </is>
      </c>
      <c r="J16" s="19" t="inlineStr">
        <is>
          <t>TC efetivo = TC ÷ OEE (s)</t>
        </is>
      </c>
      <c r="K16" s="19" t="inlineStr">
        <is>
          <t>Capacidade (peças/dia)</t>
        </is>
      </c>
      <c r="L16" s="19" t="inlineStr">
        <is>
          <t>Carga (demanda ÷ capacidade)</t>
        </is>
      </c>
      <c r="M16" s="19" t="inlineStr">
        <is>
          <t>Espera no estoque (dias)</t>
        </is>
      </c>
      <c r="N16" s="19" t="inlineStr">
        <is>
          <t>Operadores × turnos</t>
        </is>
      </c>
      <c r="O16" s="19" t="inlineStr">
        <is>
          <t>Takt (s)</t>
        </is>
      </c>
      <c r="P16" s="19" t="inlineStr">
        <is>
          <t>Situação</t>
        </is>
      </c>
    </row>
    <row r="17">
      <c r="A17" s="21" t="inlineStr">
        <is>
          <t>Puncionadeira</t>
        </is>
      </c>
      <c r="B17" s="21" t="n">
        <v>1</v>
      </c>
      <c r="C17" s="21" t="n">
        <v>4080</v>
      </c>
      <c r="D17" s="21" t="n">
        <v>4</v>
      </c>
      <c r="E17" s="21" t="n">
        <v>2</v>
      </c>
      <c r="F17" s="27" t="n">
        <v>0.75</v>
      </c>
      <c r="G17" s="21" t="n"/>
      <c r="H17" s="21" t="n">
        <v>35</v>
      </c>
      <c r="I17" s="21" t="inlineStr">
        <is>
          <t>S</t>
        </is>
      </c>
      <c r="J17" s="23">
        <f>IF(A17="","",C17/IF(F17="",1,F17))</f>
        <v/>
      </c>
      <c r="K17" s="22">
        <f>IF(A17="","",$B$11*IF(E17="",$B$6,E17)*IF(F17="",1,F17)/C17)</f>
        <v/>
      </c>
      <c r="L17" s="28">
        <f>IF(A17="","",$B$10/K17)</f>
        <v/>
      </c>
      <c r="M17" s="22">
        <f>IF(A17="","",H17/$B$10)</f>
        <v/>
      </c>
      <c r="N17" s="29">
        <f>IF(A17="","",B17*IF(E17="",$B$6,E17))</f>
        <v/>
      </c>
      <c r="O17" s="23">
        <f>IF(A17="","",$B$13)</f>
        <v/>
      </c>
      <c r="P17" s="30">
        <f>IF(A17="","",IF(L17&gt;1,"NÃO ATENDE A DEMANDA",IF(J17&gt;$B$13,"OK SÓ COM TURNO EXTRA","OK")))</f>
        <v/>
      </c>
    </row>
    <row r="18">
      <c r="A18" s="21" t="inlineStr">
        <is>
          <t>Dobradeira</t>
        </is>
      </c>
      <c r="B18" s="21" t="n">
        <v>1</v>
      </c>
      <c r="C18" s="21" t="n">
        <v>3812</v>
      </c>
      <c r="D18" s="21" t="n">
        <v>4</v>
      </c>
      <c r="E18" s="21" t="n">
        <v>2</v>
      </c>
      <c r="F18" s="27" t="n">
        <v>0.62</v>
      </c>
      <c r="G18" s="21" t="n"/>
      <c r="H18" s="21" t="n">
        <v>13</v>
      </c>
      <c r="I18" s="21" t="inlineStr">
        <is>
          <t>S</t>
        </is>
      </c>
      <c r="J18" s="23">
        <f>IF(A18="","",C18/IF(F18="",1,F18))</f>
        <v/>
      </c>
      <c r="K18" s="22">
        <f>IF(A18="","",$B$11*IF(E18="",$B$6,E18)*IF(F18="",1,F18)/C18)</f>
        <v/>
      </c>
      <c r="L18" s="28">
        <f>IF(A18="","",$B$10/K18)</f>
        <v/>
      </c>
      <c r="M18" s="22">
        <f>IF(A18="","",H18/$B$10)</f>
        <v/>
      </c>
      <c r="N18" s="29">
        <f>IF(A18="","",B18*IF(E18="",$B$6,E18))</f>
        <v/>
      </c>
      <c r="O18" s="23">
        <f>IF(A18="","",$B$13)</f>
        <v/>
      </c>
      <c r="P18" s="30">
        <f>IF(A18="","",IF(L18&gt;1,"NÃO ATENDE A DEMANDA",IF(J18&gt;$B$13,"OK SÓ COM TURNO EXTRA","OK")))</f>
        <v/>
      </c>
    </row>
    <row r="19">
      <c r="A19" s="21" t="inlineStr">
        <is>
          <t>Pré Montagem</t>
        </is>
      </c>
      <c r="B19" s="21" t="n">
        <v>1</v>
      </c>
      <c r="C19" s="21" t="n">
        <v>822</v>
      </c>
      <c r="D19" s="21" t="n"/>
      <c r="E19" s="21" t="n">
        <v>1</v>
      </c>
      <c r="F19" s="27" t="n"/>
      <c r="G19" s="21" t="n">
        <v>477</v>
      </c>
      <c r="H19" s="21" t="n">
        <v>30</v>
      </c>
      <c r="I19" s="21" t="inlineStr">
        <is>
          <t>S</t>
        </is>
      </c>
      <c r="J19" s="23">
        <f>IF(A19="","",C19/IF(F19="",1,F19))</f>
        <v/>
      </c>
      <c r="K19" s="22">
        <f>IF(A19="","",$B$11*IF(E19="",$B$6,E19)*IF(F19="",1,F19)/C19)</f>
        <v/>
      </c>
      <c r="L19" s="28">
        <f>IF(A19="","",$B$10/K19)</f>
        <v/>
      </c>
      <c r="M19" s="22">
        <f>IF(A19="","",H19/$B$10)</f>
        <v/>
      </c>
      <c r="N19" s="29">
        <f>IF(A19="","",B19*IF(E19="",$B$6,E19))</f>
        <v/>
      </c>
      <c r="O19" s="23">
        <f>IF(A19="","",$B$13)</f>
        <v/>
      </c>
      <c r="P19" s="30">
        <f>IF(A19="","",IF(L19&gt;1,"NÃO ATENDE A DEMANDA",IF(J19&gt;$B$13,"OK SÓ COM TURNO EXTRA","OK")))</f>
        <v/>
      </c>
    </row>
    <row r="20">
      <c r="A20" s="21" t="inlineStr">
        <is>
          <t>Montagem</t>
        </is>
      </c>
      <c r="B20" s="21" t="n">
        <v>1</v>
      </c>
      <c r="C20" s="21" t="n">
        <v>850</v>
      </c>
      <c r="D20" s="21" t="n"/>
      <c r="E20" s="21" t="n">
        <v>1</v>
      </c>
      <c r="F20" s="27" t="n"/>
      <c r="G20" s="21" t="n">
        <v>477</v>
      </c>
      <c r="H20" s="21" t="n">
        <v>25</v>
      </c>
      <c r="I20" s="21" t="inlineStr">
        <is>
          <t>S</t>
        </is>
      </c>
      <c r="J20" s="23">
        <f>IF(A20="","",C20/IF(F20="",1,F20))</f>
        <v/>
      </c>
      <c r="K20" s="22">
        <f>IF(A20="","",$B$11*IF(E20="",$B$6,E20)*IF(F20="",1,F20)/C20)</f>
        <v/>
      </c>
      <c r="L20" s="28">
        <f>IF(A20="","",$B$10/K20)</f>
        <v/>
      </c>
      <c r="M20" s="22">
        <f>IF(A20="","",H20/$B$10)</f>
        <v/>
      </c>
      <c r="N20" s="29">
        <f>IF(A20="","",B20*IF(E20="",$B$6,E20))</f>
        <v/>
      </c>
      <c r="O20" s="23">
        <f>IF(A20="","",$B$13)</f>
        <v/>
      </c>
      <c r="P20" s="30">
        <f>IF(A20="","",IF(L20&gt;1,"NÃO ATENDE A DEMANDA",IF(J20&gt;$B$13,"OK SÓ COM TURNO EXTRA","OK")))</f>
        <v/>
      </c>
    </row>
    <row r="21">
      <c r="A21" s="21" t="n"/>
      <c r="B21" s="21" t="n"/>
      <c r="C21" s="21" t="n"/>
      <c r="D21" s="21" t="n"/>
      <c r="E21" s="21" t="n"/>
      <c r="F21" s="27" t="n"/>
      <c r="G21" s="21" t="n"/>
      <c r="H21" s="21" t="n"/>
      <c r="I21" s="21" t="n"/>
      <c r="J21" s="23">
        <f>IF(A21="","",C21/IF(F21="",1,F21))</f>
        <v/>
      </c>
      <c r="K21" s="22">
        <f>IF(A21="","",$B$11*IF(E21="",$B$6,E21)*IF(F21="",1,F21)/C21)</f>
        <v/>
      </c>
      <c r="L21" s="28">
        <f>IF(A21="","",$B$10/K21)</f>
        <v/>
      </c>
      <c r="M21" s="22">
        <f>IF(A21="","",H21/$B$10)</f>
        <v/>
      </c>
      <c r="N21" s="29">
        <f>IF(A21="","",B21*IF(E21="",$B$6,E21))</f>
        <v/>
      </c>
      <c r="O21" s="23">
        <f>IF(A21="","",$B$13)</f>
        <v/>
      </c>
      <c r="P21" s="30">
        <f>IF(A21="","",IF(L21&gt;1,"NÃO ATENDE A DEMANDA",IF(J21&gt;$B$13,"OK SÓ COM TURNO EXTRA","OK")))</f>
        <v/>
      </c>
    </row>
    <row r="22">
      <c r="A22" s="21" t="n"/>
      <c r="B22" s="21" t="n"/>
      <c r="C22" s="21" t="n"/>
      <c r="D22" s="21" t="n"/>
      <c r="E22" s="21" t="n"/>
      <c r="F22" s="27" t="n"/>
      <c r="G22" s="21" t="n"/>
      <c r="H22" s="21" t="n"/>
      <c r="I22" s="21" t="n"/>
      <c r="J22" s="23">
        <f>IF(A22="","",C22/IF(F22="",1,F22))</f>
        <v/>
      </c>
      <c r="K22" s="22">
        <f>IF(A22="","",$B$11*IF(E22="",$B$6,E22)*IF(F22="",1,F22)/C22)</f>
        <v/>
      </c>
      <c r="L22" s="28">
        <f>IF(A22="","",$B$10/K22)</f>
        <v/>
      </c>
      <c r="M22" s="22">
        <f>IF(A22="","",H22/$B$10)</f>
        <v/>
      </c>
      <c r="N22" s="29">
        <f>IF(A22="","",B22*IF(E22="",$B$6,E22))</f>
        <v/>
      </c>
      <c r="O22" s="23">
        <f>IF(A22="","",$B$13)</f>
        <v/>
      </c>
      <c r="P22" s="30">
        <f>IF(A22="","",IF(L22&gt;1,"NÃO ATENDE A DEMANDA",IF(J22&gt;$B$13,"OK SÓ COM TURNO EXTRA","OK")))</f>
        <v/>
      </c>
    </row>
    <row r="23">
      <c r="A23" s="21" t="n"/>
      <c r="B23" s="21" t="n"/>
      <c r="C23" s="21" t="n"/>
      <c r="D23" s="21" t="n"/>
      <c r="E23" s="21" t="n"/>
      <c r="F23" s="27" t="n"/>
      <c r="G23" s="21" t="n"/>
      <c r="H23" s="21" t="n"/>
      <c r="I23" s="21" t="n"/>
      <c r="J23" s="23">
        <f>IF(A23="","",C23/IF(F23="",1,F23))</f>
        <v/>
      </c>
      <c r="K23" s="22">
        <f>IF(A23="","",$B$11*IF(E23="",$B$6,E23)*IF(F23="",1,F23)/C23)</f>
        <v/>
      </c>
      <c r="L23" s="28">
        <f>IF(A23="","",$B$10/K23)</f>
        <v/>
      </c>
      <c r="M23" s="22">
        <f>IF(A23="","",H23/$B$10)</f>
        <v/>
      </c>
      <c r="N23" s="29">
        <f>IF(A23="","",B23*IF(E23="",$B$6,E23))</f>
        <v/>
      </c>
      <c r="O23" s="23">
        <f>IF(A23="","",$B$13)</f>
        <v/>
      </c>
      <c r="P23" s="30">
        <f>IF(A23="","",IF(L23&gt;1,"NÃO ATENDE A DEMANDA",IF(J23&gt;$B$13,"OK SÓ COM TURNO EXTRA","OK")))</f>
        <v/>
      </c>
    </row>
    <row r="24">
      <c r="A24" s="21" t="n"/>
      <c r="B24" s="21" t="n"/>
      <c r="C24" s="21" t="n"/>
      <c r="D24" s="21" t="n"/>
      <c r="E24" s="21" t="n"/>
      <c r="F24" s="27" t="n"/>
      <c r="G24" s="21" t="n"/>
      <c r="H24" s="21" t="n"/>
      <c r="I24" s="21" t="n"/>
      <c r="J24" s="23">
        <f>IF(A24="","",C24/IF(F24="",1,F24))</f>
        <v/>
      </c>
      <c r="K24" s="22">
        <f>IF(A24="","",$B$11*IF(E24="",$B$6,E24)*IF(F24="",1,F24)/C24)</f>
        <v/>
      </c>
      <c r="L24" s="28">
        <f>IF(A24="","",$B$10/K24)</f>
        <v/>
      </c>
      <c r="M24" s="22">
        <f>IF(A24="","",H24/$B$10)</f>
        <v/>
      </c>
      <c r="N24" s="29">
        <f>IF(A24="","",B24*IF(E24="",$B$6,E24))</f>
        <v/>
      </c>
      <c r="O24" s="23">
        <f>IF(A24="","",$B$13)</f>
        <v/>
      </c>
      <c r="P24" s="30">
        <f>IF(A24="","",IF(L24&gt;1,"NÃO ATENDE A DEMANDA",IF(J24&gt;$B$13,"OK SÓ COM TURNO EXTRA","OK")))</f>
        <v/>
      </c>
    </row>
    <row r="25">
      <c r="A25" s="21" t="n"/>
      <c r="B25" s="21" t="n"/>
      <c r="C25" s="21" t="n"/>
      <c r="D25" s="21" t="n"/>
      <c r="E25" s="21" t="n"/>
      <c r="F25" s="27" t="n"/>
      <c r="G25" s="21" t="n"/>
      <c r="H25" s="21" t="n"/>
      <c r="I25" s="21" t="n"/>
      <c r="J25" s="23">
        <f>IF(A25="","",C25/IF(F25="",1,F25))</f>
        <v/>
      </c>
      <c r="K25" s="22">
        <f>IF(A25="","",$B$11*IF(E25="",$B$6,E25)*IF(F25="",1,F25)/C25)</f>
        <v/>
      </c>
      <c r="L25" s="28">
        <f>IF(A25="","",$B$10/K25)</f>
        <v/>
      </c>
      <c r="M25" s="22">
        <f>IF(A25="","",H25/$B$10)</f>
        <v/>
      </c>
      <c r="N25" s="29">
        <f>IF(A25="","",B25*IF(E25="",$B$6,E25))</f>
        <v/>
      </c>
      <c r="O25" s="23">
        <f>IF(A25="","",$B$13)</f>
        <v/>
      </c>
      <c r="P25" s="30">
        <f>IF(A25="","",IF(L25&gt;1,"NÃO ATENDE A DEMANDA",IF(J25&gt;$B$13,"OK SÓ COM TURNO EXTRA","OK")))</f>
        <v/>
      </c>
    </row>
    <row r="26">
      <c r="A26" s="21" t="n"/>
      <c r="B26" s="21" t="n"/>
      <c r="C26" s="21" t="n"/>
      <c r="D26" s="21" t="n"/>
      <c r="E26" s="21" t="n"/>
      <c r="F26" s="27" t="n"/>
      <c r="G26" s="21" t="n"/>
      <c r="H26" s="21" t="n"/>
      <c r="I26" s="21" t="n"/>
      <c r="J26" s="23">
        <f>IF(A26="","",C26/IF(F26="",1,F26))</f>
        <v/>
      </c>
      <c r="K26" s="22">
        <f>IF(A26="","",$B$11*IF(E26="",$B$6,E26)*IF(F26="",1,F26)/C26)</f>
        <v/>
      </c>
      <c r="L26" s="28">
        <f>IF(A26="","",$B$10/K26)</f>
        <v/>
      </c>
      <c r="M26" s="22">
        <f>IF(A26="","",H26/$B$10)</f>
        <v/>
      </c>
      <c r="N26" s="29">
        <f>IF(A26="","",B26*IF(E26="",$B$6,E26))</f>
        <v/>
      </c>
      <c r="O26" s="23">
        <f>IF(A26="","",$B$13)</f>
        <v/>
      </c>
      <c r="P26" s="30">
        <f>IF(A26="","",IF(L26&gt;1,"NÃO ATENDE A DEMANDA",IF(J26&gt;$B$13,"OK SÓ COM TURNO EXTRA","OK")))</f>
        <v/>
      </c>
    </row>
    <row r="29">
      <c r="A29" s="19" t="inlineStr">
        <is>
          <t>Resultado</t>
        </is>
      </c>
      <c r="B29" s="19" t="inlineStr">
        <is>
          <t>Valor</t>
        </is>
      </c>
      <c r="C29" s="19" t="inlineStr">
        <is>
          <t>Unidade</t>
        </is>
      </c>
    </row>
    <row r="30">
      <c r="A30" s="20" t="inlineStr">
        <is>
          <t>Lead time de produção</t>
        </is>
      </c>
      <c r="B30" s="31">
        <f>SUM(M17:M26)+B9/B10</f>
        <v/>
      </c>
      <c r="C30" s="20" t="inlineStr">
        <is>
          <t>dias</t>
        </is>
      </c>
    </row>
    <row r="31">
      <c r="A31" s="20" t="inlineStr">
        <is>
          <t>Tempo de processamento (TP = Σ TC)</t>
        </is>
      </c>
      <c r="B31" s="32">
        <f>SUM(C17:C26)</f>
        <v/>
      </c>
      <c r="C31" s="20" t="inlineStr">
        <is>
          <t>s</t>
        </is>
      </c>
    </row>
    <row r="32">
      <c r="A32" s="20" t="inlineStr">
        <is>
          <t>TP em horas</t>
        </is>
      </c>
      <c r="B32" s="31">
        <f>B31/3600</f>
        <v/>
      </c>
      <c r="C32" s="20" t="inlineStr">
        <is>
          <t>h</t>
        </is>
      </c>
    </row>
    <row r="33">
      <c r="A33" s="20" t="inlineStr">
        <is>
          <t>Tempo de valor agregado (Σ TC com "S")</t>
        </is>
      </c>
      <c r="B33" s="32">
        <f>SUMIF(I17:I26,"S",C17:C26)</f>
        <v/>
      </c>
      <c r="C33" s="20" t="inlineStr">
        <is>
          <t>s</t>
        </is>
      </c>
    </row>
    <row r="34">
      <c r="A34" s="20" t="inlineStr">
        <is>
          <t>PCE (LT em horas de trabalho)</t>
        </is>
      </c>
      <c r="B34" s="33">
        <f>B33/(B30*B12+B31)</f>
        <v/>
      </c>
      <c r="C34" s="20" t="inlineStr">
        <is>
          <t>%</t>
        </is>
      </c>
    </row>
    <row r="35">
      <c r="A35" s="20" t="inlineStr">
        <is>
          <t>PCE (LT em 24 h corridas)</t>
        </is>
      </c>
      <c r="B35" s="33">
        <f>B33/(B30*86400+B31)</f>
        <v/>
      </c>
      <c r="C35" s="20" t="inlineStr">
        <is>
          <t>%</t>
        </is>
      </c>
    </row>
    <row r="36">
      <c r="A36" s="20" t="inlineStr">
        <is>
          <t>Operadores teóricos (TP ÷ Takt)</t>
        </is>
      </c>
      <c r="B36" s="31">
        <f>B31/B13</f>
        <v/>
      </c>
      <c r="C36" s="20" t="inlineStr">
        <is>
          <t>operadores</t>
        </is>
      </c>
    </row>
    <row r="37">
      <c r="A37" s="20" t="inlineStr">
        <is>
          <t>Operadores necessários (arredondado)</t>
        </is>
      </c>
      <c r="B37" s="34">
        <f>ROUNDUP(B36,0)</f>
        <v/>
      </c>
      <c r="C37" s="20" t="inlineStr">
        <is>
          <t>operadores</t>
        </is>
      </c>
    </row>
    <row r="38">
      <c r="A38" s="20" t="inlineStr">
        <is>
          <t>Operadores atuais (op. × turnos)</t>
        </is>
      </c>
      <c r="B38" s="34">
        <f>SUM(N17:N26)</f>
        <v/>
      </c>
      <c r="C38" s="20" t="inlineStr">
        <is>
          <t>operadores</t>
        </is>
      </c>
    </row>
    <row r="39">
      <c r="A39" s="20" t="inlineStr">
        <is>
          <t>Peças por operador por mês</t>
        </is>
      </c>
      <c r="B39" s="35">
        <f>B4/B38</f>
        <v/>
      </c>
      <c r="C39" s="20" t="inlineStr">
        <is>
          <t>peças/op/mês</t>
        </is>
      </c>
    </row>
    <row r="40">
      <c r="A40" s="20" t="inlineStr">
        <is>
          <t>Gargalo (maior carga)</t>
        </is>
      </c>
      <c r="B40" s="36">
        <f>INDEX(A17:A26,MATCH(MAX(L17:L26),L17:L26,0))</f>
        <v/>
      </c>
      <c r="C40" s="20" t="inlineStr"/>
    </row>
    <row r="41">
      <c r="A41" s="20" t="inlineStr">
        <is>
          <t>Carga do gargalo</t>
        </is>
      </c>
      <c r="B41" s="37">
        <f>MAX(L17:L26)</f>
        <v/>
      </c>
      <c r="C41" s="20" t="inlineStr">
        <is>
          <t>%</t>
        </is>
      </c>
    </row>
    <row r="43">
      <c r="A43" s="18" t="inlineStr">
        <is>
          <t>Dados da prova. Premissa: o TC é por painel (só assim os 2 turnos da Puncionadeira e da Dobradeira se explicam).</t>
        </is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pane xSplit="1" ySplit="16" topLeftCell="B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8" customWidth="1" min="4" max="4"/>
    <col width="12" customWidth="1" min="5" max="5"/>
    <col width="14" customWidth="1" min="6" max="6"/>
    <col width="10" customWidth="1" min="7" max="7"/>
    <col width="12" customWidth="1" min="8" max="8"/>
    <col width="10" customWidth="1" min="9" max="9"/>
    <col width="14" customWidth="1" min="10" max="10"/>
    <col width="13" customWidth="1" min="11" max="11"/>
    <col width="14" customWidth="1" min="12" max="12"/>
    <col width="12" customWidth="1" min="13" max="13"/>
    <col width="12" customWidth="1" min="14" max="14"/>
    <col width="10" customWidth="1" min="15" max="15"/>
    <col width="24" customWidth="1" min="16" max="16"/>
  </cols>
  <sheetData>
    <row r="1">
      <c r="A1" s="17" t="inlineStr">
        <is>
          <t>MFV Estado Futuro — proposta (edite as metas)</t>
        </is>
      </c>
    </row>
    <row r="2">
      <c r="A2" s="18" t="inlineStr">
        <is>
          <t>Células amarelas com texto azul = dados de entrada. O resto é fórmula e recalcula sozinho.</t>
        </is>
      </c>
    </row>
    <row r="3">
      <c r="A3" s="19" t="inlineStr">
        <is>
          <t>Parâmetro</t>
        </is>
      </c>
      <c r="B3" s="19" t="inlineStr">
        <is>
          <t>Valor</t>
        </is>
      </c>
      <c r="C3" s="19" t="inlineStr">
        <is>
          <t>Unidade</t>
        </is>
      </c>
    </row>
    <row r="4">
      <c r="A4" s="20" t="inlineStr">
        <is>
          <t>Demanda mensal</t>
        </is>
      </c>
      <c r="B4" s="21" t="n">
        <v>170</v>
      </c>
      <c r="C4" s="20" t="inlineStr">
        <is>
          <t>peças/mês</t>
        </is>
      </c>
    </row>
    <row r="5">
      <c r="A5" s="20" t="inlineStr">
        <is>
          <t>Dias úteis</t>
        </is>
      </c>
      <c r="B5" s="21" t="n">
        <v>20</v>
      </c>
      <c r="C5" s="20" t="inlineStr">
        <is>
          <t>dias/mês</t>
        </is>
      </c>
    </row>
    <row r="6">
      <c r="A6" s="20" t="inlineStr">
        <is>
          <t>Turnos da planta</t>
        </is>
      </c>
      <c r="B6" s="21" t="n">
        <v>1</v>
      </c>
      <c r="C6" s="20" t="inlineStr">
        <is>
          <t>turnos/dia</t>
        </is>
      </c>
    </row>
    <row r="7">
      <c r="A7" s="20" t="inlineStr">
        <is>
          <t>Horas por turno</t>
        </is>
      </c>
      <c r="B7" s="21" t="n">
        <v>8.800000000000001</v>
      </c>
      <c r="C7" s="20" t="inlineStr">
        <is>
          <t>h</t>
        </is>
      </c>
    </row>
    <row r="8">
      <c r="A8" s="20" t="inlineStr">
        <is>
          <t>Pausas por turno</t>
        </is>
      </c>
      <c r="B8" s="21" t="n">
        <v>0</v>
      </c>
      <c r="C8" s="20" t="inlineStr">
        <is>
          <t>min</t>
        </is>
      </c>
    </row>
    <row r="9">
      <c r="A9" s="20" t="inlineStr">
        <is>
          <t>Estoque de produto acabado (antes da expedição)</t>
        </is>
      </c>
      <c r="B9" s="21" t="n">
        <v>9</v>
      </c>
      <c r="C9" s="20" t="inlineStr">
        <is>
          <t>peças</t>
        </is>
      </c>
    </row>
    <row r="10">
      <c r="A10" s="20" t="inlineStr">
        <is>
          <t>Demanda diária</t>
        </is>
      </c>
      <c r="B10" s="22">
        <f>B4/B5</f>
        <v/>
      </c>
      <c r="C10" s="20" t="inlineStr">
        <is>
          <t>peças/dia</t>
        </is>
      </c>
    </row>
    <row r="11">
      <c r="A11" s="20" t="inlineStr">
        <is>
          <t>Tempo disponível por turno</t>
        </is>
      </c>
      <c r="B11" s="23">
        <f>B7*3600-B8*60</f>
        <v/>
      </c>
      <c r="C11" s="20" t="inlineStr">
        <is>
          <t>s</t>
        </is>
      </c>
    </row>
    <row r="12">
      <c r="A12" s="20" t="inlineStr">
        <is>
          <t>Tempo disponível por dia (planta)</t>
        </is>
      </c>
      <c r="B12" s="23">
        <f>B6*B11</f>
        <v/>
      </c>
      <c r="C12" s="20" t="inlineStr">
        <is>
          <t>s/dia</t>
        </is>
      </c>
    </row>
    <row r="13">
      <c r="A13" s="24" t="inlineStr">
        <is>
          <t>TAKT TIME</t>
        </is>
      </c>
      <c r="B13" s="25">
        <f>B12/B10</f>
        <v/>
      </c>
      <c r="C13" s="20" t="inlineStr">
        <is>
          <t>s/peça</t>
        </is>
      </c>
    </row>
    <row r="14">
      <c r="A14" s="20" t="inlineStr">
        <is>
          <t>Takt em minutos</t>
        </is>
      </c>
      <c r="B14" s="26">
        <f>B13/60</f>
        <v/>
      </c>
      <c r="C14" s="20" t="inlineStr">
        <is>
          <t>min/peça</t>
        </is>
      </c>
    </row>
    <row r="16" ht="48" customHeight="1">
      <c r="A16" s="19" t="inlineStr">
        <is>
          <t>Processo</t>
        </is>
      </c>
      <c r="B16" s="19" t="inlineStr">
        <is>
          <t>Operadores</t>
        </is>
      </c>
      <c r="C16" s="19" t="inlineStr">
        <is>
          <t>Tempo de ciclo TC (s)</t>
        </is>
      </c>
      <c r="D16" s="19" t="inlineStr">
        <is>
          <t>Lote</t>
        </is>
      </c>
      <c r="E16" s="19" t="inlineStr">
        <is>
          <t>Turnos (vazio = planta)</t>
        </is>
      </c>
      <c r="F16" s="19" t="inlineStr">
        <is>
          <t>OEE / Disponib. (vazio = 100%)</t>
        </is>
      </c>
      <c r="G16" s="19" t="inlineStr">
        <is>
          <t>Setup TR (s)</t>
        </is>
      </c>
      <c r="H16" s="19" t="inlineStr">
        <is>
          <t>Estoque ANTES (peças)</t>
        </is>
      </c>
      <c r="I16" s="19" t="inlineStr">
        <is>
          <t>Agrega valor? (S/N)</t>
        </is>
      </c>
      <c r="J16" s="19" t="inlineStr">
        <is>
          <t>TC efetivo = TC ÷ OEE (s)</t>
        </is>
      </c>
      <c r="K16" s="19" t="inlineStr">
        <is>
          <t>Capacidade (peças/dia)</t>
        </is>
      </c>
      <c r="L16" s="19" t="inlineStr">
        <is>
          <t>Carga (demanda ÷ capacidade)</t>
        </is>
      </c>
      <c r="M16" s="19" t="inlineStr">
        <is>
          <t>Espera no estoque (dias)</t>
        </is>
      </c>
      <c r="N16" s="19" t="inlineStr">
        <is>
          <t>Operadores × turnos</t>
        </is>
      </c>
      <c r="O16" s="19" t="inlineStr">
        <is>
          <t>Takt (s)</t>
        </is>
      </c>
      <c r="P16" s="19" t="inlineStr">
        <is>
          <t>Situação</t>
        </is>
      </c>
    </row>
    <row r="17">
      <c r="A17" s="21" t="inlineStr">
        <is>
          <t>Puncionadeira (TPM + SMED)</t>
        </is>
      </c>
      <c r="B17" s="21" t="n">
        <v>1</v>
      </c>
      <c r="C17" s="21" t="n">
        <v>4080</v>
      </c>
      <c r="D17" s="21" t="n">
        <v>2</v>
      </c>
      <c r="E17" s="21" t="n">
        <v>2</v>
      </c>
      <c r="F17" s="27" t="n">
        <v>0.85</v>
      </c>
      <c r="G17" s="21" t="n"/>
      <c r="H17" s="21" t="n">
        <v>17</v>
      </c>
      <c r="I17" s="21" t="inlineStr">
        <is>
          <t>S</t>
        </is>
      </c>
      <c r="J17" s="23">
        <f>IF(A17="","",C17/IF(F17="",1,F17))</f>
        <v/>
      </c>
      <c r="K17" s="22">
        <f>IF(A17="","",$B$11*IF(E17="",$B$6,E17)*IF(F17="",1,F17)/C17)</f>
        <v/>
      </c>
      <c r="L17" s="28">
        <f>IF(A17="","",$B$10/K17)</f>
        <v/>
      </c>
      <c r="M17" s="22">
        <f>IF(A17="","",H17/$B$10)</f>
        <v/>
      </c>
      <c r="N17" s="29">
        <f>IF(A17="","",B17*IF(E17="",$B$6,E17))</f>
        <v/>
      </c>
      <c r="O17" s="23">
        <f>IF(A17="","",$B$13)</f>
        <v/>
      </c>
      <c r="P17" s="30">
        <f>IF(A17="","",IF(L17&gt;1,"NÃO ATENDE A DEMANDA",IF(J17&gt;$B$13,"OK SÓ COM TURNO EXTRA","OK")))</f>
        <v/>
      </c>
    </row>
    <row r="18">
      <c r="A18" s="21" t="inlineStr">
        <is>
          <t>Dobradeira (TPM + SMED) — FIFO máx. 1 lote</t>
        </is>
      </c>
      <c r="B18" s="21" t="n">
        <v>1</v>
      </c>
      <c r="C18" s="21" t="n">
        <v>3812</v>
      </c>
      <c r="D18" s="21" t="n">
        <v>2</v>
      </c>
      <c r="E18" s="21" t="n">
        <v>2</v>
      </c>
      <c r="F18" s="27" t="n">
        <v>0.85</v>
      </c>
      <c r="G18" s="21" t="n"/>
      <c r="H18" s="21" t="n">
        <v>4</v>
      </c>
      <c r="I18" s="21" t="inlineStr">
        <is>
          <t>S</t>
        </is>
      </c>
      <c r="J18" s="23">
        <f>IF(A18="","",C18/IF(F18="",1,F18))</f>
        <v/>
      </c>
      <c r="K18" s="22">
        <f>IF(A18="","",$B$11*IF(E18="",$B$6,E18)*IF(F18="",1,F18)/C18)</f>
        <v/>
      </c>
      <c r="L18" s="28">
        <f>IF(A18="","",$B$10/K18)</f>
        <v/>
      </c>
      <c r="M18" s="22">
        <f>IF(A18="","",H18/$B$10)</f>
        <v/>
      </c>
      <c r="N18" s="29">
        <f>IF(A18="","",B18*IF(E18="",$B$6,E18))</f>
        <v/>
      </c>
      <c r="O18" s="23">
        <f>IF(A18="","",$B$13)</f>
        <v/>
      </c>
      <c r="P18" s="30">
        <f>IF(A18="","",IF(L18&gt;1,"NÃO ATENDE A DEMANDA",IF(J18&gt;$B$13,"OK SÓ COM TURNO EXTRA","OK")))</f>
        <v/>
      </c>
    </row>
    <row r="19">
      <c r="A19" s="21" t="inlineStr">
        <is>
          <t>Célula Pré Montagem + Montagem (puxador) — supermercado antes</t>
        </is>
      </c>
      <c r="B19" s="21" t="n">
        <v>1</v>
      </c>
      <c r="C19" s="21" t="n">
        <v>1672</v>
      </c>
      <c r="D19" s="21" t="n">
        <v>1</v>
      </c>
      <c r="E19" s="21" t="n">
        <v>1</v>
      </c>
      <c r="F19" s="27" t="n"/>
      <c r="G19" s="21" t="n"/>
      <c r="H19" s="21" t="n">
        <v>9</v>
      </c>
      <c r="I19" s="21" t="inlineStr">
        <is>
          <t>S</t>
        </is>
      </c>
      <c r="J19" s="23">
        <f>IF(A19="","",C19/IF(F19="",1,F19))</f>
        <v/>
      </c>
      <c r="K19" s="22">
        <f>IF(A19="","",$B$11*IF(E19="",$B$6,E19)*IF(F19="",1,F19)/C19)</f>
        <v/>
      </c>
      <c r="L19" s="28">
        <f>IF(A19="","",$B$10/K19)</f>
        <v/>
      </c>
      <c r="M19" s="22">
        <f>IF(A19="","",H19/$B$10)</f>
        <v/>
      </c>
      <c r="N19" s="29">
        <f>IF(A19="","",B19*IF(E19="",$B$6,E19))</f>
        <v/>
      </c>
      <c r="O19" s="23">
        <f>IF(A19="","",$B$13)</f>
        <v/>
      </c>
      <c r="P19" s="30">
        <f>IF(A19="","",IF(L19&gt;1,"NÃO ATENDE A DEMANDA",IF(J19&gt;$B$13,"OK SÓ COM TURNO EXTRA","OK")))</f>
        <v/>
      </c>
    </row>
    <row r="20">
      <c r="A20" s="21" t="n"/>
      <c r="B20" s="21" t="n"/>
      <c r="C20" s="21" t="n"/>
      <c r="D20" s="21" t="n"/>
      <c r="E20" s="21" t="n"/>
      <c r="F20" s="27" t="n"/>
      <c r="G20" s="21" t="n"/>
      <c r="H20" s="21" t="n"/>
      <c r="I20" s="21" t="n"/>
      <c r="J20" s="23">
        <f>IF(A20="","",C20/IF(F20="",1,F20))</f>
        <v/>
      </c>
      <c r="K20" s="22">
        <f>IF(A20="","",$B$11*IF(E20="",$B$6,E20)*IF(F20="",1,F20)/C20)</f>
        <v/>
      </c>
      <c r="L20" s="28">
        <f>IF(A20="","",$B$10/K20)</f>
        <v/>
      </c>
      <c r="M20" s="22">
        <f>IF(A20="","",H20/$B$10)</f>
        <v/>
      </c>
      <c r="N20" s="29">
        <f>IF(A20="","",B20*IF(E20="",$B$6,E20))</f>
        <v/>
      </c>
      <c r="O20" s="23">
        <f>IF(A20="","",$B$13)</f>
        <v/>
      </c>
      <c r="P20" s="30">
        <f>IF(A20="","",IF(L20&gt;1,"NÃO ATENDE A DEMANDA",IF(J20&gt;$B$13,"OK SÓ COM TURNO EXTRA","OK")))</f>
        <v/>
      </c>
    </row>
    <row r="21">
      <c r="A21" s="21" t="n"/>
      <c r="B21" s="21" t="n"/>
      <c r="C21" s="21" t="n"/>
      <c r="D21" s="21" t="n"/>
      <c r="E21" s="21" t="n"/>
      <c r="F21" s="27" t="n"/>
      <c r="G21" s="21" t="n"/>
      <c r="H21" s="21" t="n"/>
      <c r="I21" s="21" t="n"/>
      <c r="J21" s="23">
        <f>IF(A21="","",C21/IF(F21="",1,F21))</f>
        <v/>
      </c>
      <c r="K21" s="22">
        <f>IF(A21="","",$B$11*IF(E21="",$B$6,E21)*IF(F21="",1,F21)/C21)</f>
        <v/>
      </c>
      <c r="L21" s="28">
        <f>IF(A21="","",$B$10/K21)</f>
        <v/>
      </c>
      <c r="M21" s="22">
        <f>IF(A21="","",H21/$B$10)</f>
        <v/>
      </c>
      <c r="N21" s="29">
        <f>IF(A21="","",B21*IF(E21="",$B$6,E21))</f>
        <v/>
      </c>
      <c r="O21" s="23">
        <f>IF(A21="","",$B$13)</f>
        <v/>
      </c>
      <c r="P21" s="30">
        <f>IF(A21="","",IF(L21&gt;1,"NÃO ATENDE A DEMANDA",IF(J21&gt;$B$13,"OK SÓ COM TURNO EXTRA","OK")))</f>
        <v/>
      </c>
    </row>
    <row r="22">
      <c r="A22" s="21" t="n"/>
      <c r="B22" s="21" t="n"/>
      <c r="C22" s="21" t="n"/>
      <c r="D22" s="21" t="n"/>
      <c r="E22" s="21" t="n"/>
      <c r="F22" s="27" t="n"/>
      <c r="G22" s="21" t="n"/>
      <c r="H22" s="21" t="n"/>
      <c r="I22" s="21" t="n"/>
      <c r="J22" s="23">
        <f>IF(A22="","",C22/IF(F22="",1,F22))</f>
        <v/>
      </c>
      <c r="K22" s="22">
        <f>IF(A22="","",$B$11*IF(E22="",$B$6,E22)*IF(F22="",1,F22)/C22)</f>
        <v/>
      </c>
      <c r="L22" s="28">
        <f>IF(A22="","",$B$10/K22)</f>
        <v/>
      </c>
      <c r="M22" s="22">
        <f>IF(A22="","",H22/$B$10)</f>
        <v/>
      </c>
      <c r="N22" s="29">
        <f>IF(A22="","",B22*IF(E22="",$B$6,E22))</f>
        <v/>
      </c>
      <c r="O22" s="23">
        <f>IF(A22="","",$B$13)</f>
        <v/>
      </c>
      <c r="P22" s="30">
        <f>IF(A22="","",IF(L22&gt;1,"NÃO ATENDE A DEMANDA",IF(J22&gt;$B$13,"OK SÓ COM TURNO EXTRA","OK")))</f>
        <v/>
      </c>
    </row>
    <row r="23">
      <c r="A23" s="21" t="n"/>
      <c r="B23" s="21" t="n"/>
      <c r="C23" s="21" t="n"/>
      <c r="D23" s="21" t="n"/>
      <c r="E23" s="21" t="n"/>
      <c r="F23" s="27" t="n"/>
      <c r="G23" s="21" t="n"/>
      <c r="H23" s="21" t="n"/>
      <c r="I23" s="21" t="n"/>
      <c r="J23" s="23">
        <f>IF(A23="","",C23/IF(F23="",1,F23))</f>
        <v/>
      </c>
      <c r="K23" s="22">
        <f>IF(A23="","",$B$11*IF(E23="",$B$6,E23)*IF(F23="",1,F23)/C23)</f>
        <v/>
      </c>
      <c r="L23" s="28">
        <f>IF(A23="","",$B$10/K23)</f>
        <v/>
      </c>
      <c r="M23" s="22">
        <f>IF(A23="","",H23/$B$10)</f>
        <v/>
      </c>
      <c r="N23" s="29">
        <f>IF(A23="","",B23*IF(E23="",$B$6,E23))</f>
        <v/>
      </c>
      <c r="O23" s="23">
        <f>IF(A23="","",$B$13)</f>
        <v/>
      </c>
      <c r="P23" s="30">
        <f>IF(A23="","",IF(L23&gt;1,"NÃO ATENDE A DEMANDA",IF(J23&gt;$B$13,"OK SÓ COM TURNO EXTRA","OK")))</f>
        <v/>
      </c>
    </row>
    <row r="24">
      <c r="A24" s="21" t="n"/>
      <c r="B24" s="21" t="n"/>
      <c r="C24" s="21" t="n"/>
      <c r="D24" s="21" t="n"/>
      <c r="E24" s="21" t="n"/>
      <c r="F24" s="27" t="n"/>
      <c r="G24" s="21" t="n"/>
      <c r="H24" s="21" t="n"/>
      <c r="I24" s="21" t="n"/>
      <c r="J24" s="23">
        <f>IF(A24="","",C24/IF(F24="",1,F24))</f>
        <v/>
      </c>
      <c r="K24" s="22">
        <f>IF(A24="","",$B$11*IF(E24="",$B$6,E24)*IF(F24="",1,F24)/C24)</f>
        <v/>
      </c>
      <c r="L24" s="28">
        <f>IF(A24="","",$B$10/K24)</f>
        <v/>
      </c>
      <c r="M24" s="22">
        <f>IF(A24="","",H24/$B$10)</f>
        <v/>
      </c>
      <c r="N24" s="29">
        <f>IF(A24="","",B24*IF(E24="",$B$6,E24))</f>
        <v/>
      </c>
      <c r="O24" s="23">
        <f>IF(A24="","",$B$13)</f>
        <v/>
      </c>
      <c r="P24" s="30">
        <f>IF(A24="","",IF(L24&gt;1,"NÃO ATENDE A DEMANDA",IF(J24&gt;$B$13,"OK SÓ COM TURNO EXTRA","OK")))</f>
        <v/>
      </c>
    </row>
    <row r="25">
      <c r="A25" s="21" t="n"/>
      <c r="B25" s="21" t="n"/>
      <c r="C25" s="21" t="n"/>
      <c r="D25" s="21" t="n"/>
      <c r="E25" s="21" t="n"/>
      <c r="F25" s="27" t="n"/>
      <c r="G25" s="21" t="n"/>
      <c r="H25" s="21" t="n"/>
      <c r="I25" s="21" t="n"/>
      <c r="J25" s="23">
        <f>IF(A25="","",C25/IF(F25="",1,F25))</f>
        <v/>
      </c>
      <c r="K25" s="22">
        <f>IF(A25="","",$B$11*IF(E25="",$B$6,E25)*IF(F25="",1,F25)/C25)</f>
        <v/>
      </c>
      <c r="L25" s="28">
        <f>IF(A25="","",$B$10/K25)</f>
        <v/>
      </c>
      <c r="M25" s="22">
        <f>IF(A25="","",H25/$B$10)</f>
        <v/>
      </c>
      <c r="N25" s="29">
        <f>IF(A25="","",B25*IF(E25="",$B$6,E25))</f>
        <v/>
      </c>
      <c r="O25" s="23">
        <f>IF(A25="","",$B$13)</f>
        <v/>
      </c>
      <c r="P25" s="30">
        <f>IF(A25="","",IF(L25&gt;1,"NÃO ATENDE A DEMANDA",IF(J25&gt;$B$13,"OK SÓ COM TURNO EXTRA","OK")))</f>
        <v/>
      </c>
    </row>
    <row r="26">
      <c r="A26" s="21" t="n"/>
      <c r="B26" s="21" t="n"/>
      <c r="C26" s="21" t="n"/>
      <c r="D26" s="21" t="n"/>
      <c r="E26" s="21" t="n"/>
      <c r="F26" s="27" t="n"/>
      <c r="G26" s="21" t="n"/>
      <c r="H26" s="21" t="n"/>
      <c r="I26" s="21" t="n"/>
      <c r="J26" s="23">
        <f>IF(A26="","",C26/IF(F26="",1,F26))</f>
        <v/>
      </c>
      <c r="K26" s="22">
        <f>IF(A26="","",$B$11*IF(E26="",$B$6,E26)*IF(F26="",1,F26)/C26)</f>
        <v/>
      </c>
      <c r="L26" s="28">
        <f>IF(A26="","",$B$10/K26)</f>
        <v/>
      </c>
      <c r="M26" s="22">
        <f>IF(A26="","",H26/$B$10)</f>
        <v/>
      </c>
      <c r="N26" s="29">
        <f>IF(A26="","",B26*IF(E26="",$B$6,E26))</f>
        <v/>
      </c>
      <c r="O26" s="23">
        <f>IF(A26="","",$B$13)</f>
        <v/>
      </c>
      <c r="P26" s="30">
        <f>IF(A26="","",IF(L26&gt;1,"NÃO ATENDE A DEMANDA",IF(J26&gt;$B$13,"OK SÓ COM TURNO EXTRA","OK")))</f>
        <v/>
      </c>
    </row>
    <row r="29">
      <c r="A29" s="19" t="inlineStr">
        <is>
          <t>Resultado</t>
        </is>
      </c>
      <c r="B29" s="19" t="inlineStr">
        <is>
          <t>Valor</t>
        </is>
      </c>
      <c r="C29" s="19" t="inlineStr">
        <is>
          <t>Unidade</t>
        </is>
      </c>
    </row>
    <row r="30">
      <c r="A30" s="20" t="inlineStr">
        <is>
          <t>Lead time de produção</t>
        </is>
      </c>
      <c r="B30" s="31">
        <f>SUM(M17:M26)+B9/B10</f>
        <v/>
      </c>
      <c r="C30" s="20" t="inlineStr">
        <is>
          <t>dias</t>
        </is>
      </c>
    </row>
    <row r="31">
      <c r="A31" s="20" t="inlineStr">
        <is>
          <t>Tempo de processamento (TP = Σ TC)</t>
        </is>
      </c>
      <c r="B31" s="32">
        <f>SUM(C17:C26)</f>
        <v/>
      </c>
      <c r="C31" s="20" t="inlineStr">
        <is>
          <t>s</t>
        </is>
      </c>
    </row>
    <row r="32">
      <c r="A32" s="20" t="inlineStr">
        <is>
          <t>TP em horas</t>
        </is>
      </c>
      <c r="B32" s="31">
        <f>B31/3600</f>
        <v/>
      </c>
      <c r="C32" s="20" t="inlineStr">
        <is>
          <t>h</t>
        </is>
      </c>
    </row>
    <row r="33">
      <c r="A33" s="20" t="inlineStr">
        <is>
          <t>Tempo de valor agregado (Σ TC com "S")</t>
        </is>
      </c>
      <c r="B33" s="32">
        <f>SUMIF(I17:I26,"S",C17:C26)</f>
        <v/>
      </c>
      <c r="C33" s="20" t="inlineStr">
        <is>
          <t>s</t>
        </is>
      </c>
    </row>
    <row r="34">
      <c r="A34" s="20" t="inlineStr">
        <is>
          <t>PCE (LT em horas de trabalho)</t>
        </is>
      </c>
      <c r="B34" s="33">
        <f>B33/(B30*B12+B31)</f>
        <v/>
      </c>
      <c r="C34" s="20" t="inlineStr">
        <is>
          <t>%</t>
        </is>
      </c>
    </row>
    <row r="35">
      <c r="A35" s="20" t="inlineStr">
        <is>
          <t>PCE (LT em 24 h corridas)</t>
        </is>
      </c>
      <c r="B35" s="33">
        <f>B33/(B30*86400+B31)</f>
        <v/>
      </c>
      <c r="C35" s="20" t="inlineStr">
        <is>
          <t>%</t>
        </is>
      </c>
    </row>
    <row r="36">
      <c r="A36" s="20" t="inlineStr">
        <is>
          <t>Operadores teóricos (TP ÷ Takt)</t>
        </is>
      </c>
      <c r="B36" s="31">
        <f>B31/B13</f>
        <v/>
      </c>
      <c r="C36" s="20" t="inlineStr">
        <is>
          <t>operadores</t>
        </is>
      </c>
    </row>
    <row r="37">
      <c r="A37" s="20" t="inlineStr">
        <is>
          <t>Operadores necessários (arredondado)</t>
        </is>
      </c>
      <c r="B37" s="34">
        <f>ROUNDUP(B36,0)</f>
        <v/>
      </c>
      <c r="C37" s="20" t="inlineStr">
        <is>
          <t>operadores</t>
        </is>
      </c>
    </row>
    <row r="38">
      <c r="A38" s="20" t="inlineStr">
        <is>
          <t>Operadores atuais (op. × turnos)</t>
        </is>
      </c>
      <c r="B38" s="34">
        <f>SUM(N17:N26)</f>
        <v/>
      </c>
      <c r="C38" s="20" t="inlineStr">
        <is>
          <t>operadores</t>
        </is>
      </c>
    </row>
    <row r="39">
      <c r="A39" s="20" t="inlineStr">
        <is>
          <t>Peças por operador por mês</t>
        </is>
      </c>
      <c r="B39" s="35">
        <f>B4/B38</f>
        <v/>
      </c>
      <c r="C39" s="20" t="inlineStr">
        <is>
          <t>peças/op/mês</t>
        </is>
      </c>
    </row>
    <row r="40">
      <c r="A40" s="20" t="inlineStr">
        <is>
          <t>Gargalo (maior carga)</t>
        </is>
      </c>
      <c r="B40" s="36">
        <f>INDEX(A17:A26,MATCH(MAX(L17:L26),L17:L26,0))</f>
        <v/>
      </c>
      <c r="C40" s="20" t="inlineStr"/>
    </row>
    <row r="41">
      <c r="A41" s="20" t="inlineStr">
        <is>
          <t>Carga do gargalo</t>
        </is>
      </c>
      <c r="B41" s="37">
        <f>MAX(L17:L26)</f>
        <v/>
      </c>
      <c r="C41" s="20" t="inlineStr">
        <is>
          <t>%</t>
        </is>
      </c>
    </row>
    <row r="43">
      <c r="A43" s="18" t="inlineStr">
        <is>
          <t>Metas propostas: OEE 85%, lote 2, MP 2 dias (17), FIFO 4, supermercado 1 dia (9), produto acabado 1 dia (9). Ajuste nas células amarelas.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50" customWidth="1" min="3" max="3"/>
  </cols>
  <sheetData>
    <row r="1">
      <c r="A1" s="19" t="inlineStr">
        <is>
          <t>Indicador</t>
        </is>
      </c>
      <c r="B1" s="19" t="inlineStr">
        <is>
          <t>Fórmula</t>
        </is>
      </c>
      <c r="C1" s="19" t="inlineStr">
        <is>
          <t>Observação</t>
        </is>
      </c>
    </row>
    <row r="2">
      <c r="A2" s="20" t="inlineStr">
        <is>
          <t>Demanda diária</t>
        </is>
      </c>
      <c r="B2" s="20" t="inlineStr">
        <is>
          <t>Demanda mensal ÷ Dias úteis</t>
        </is>
      </c>
      <c r="C2" s="20" t="inlineStr"/>
    </row>
    <row r="3">
      <c r="A3" s="20" t="inlineStr">
        <is>
          <t>Tempo disponível</t>
        </is>
      </c>
      <c r="B3" s="20" t="inlineStr">
        <is>
          <t>Turnos × (Horas × 3600 − Pausas × 60)</t>
        </is>
      </c>
      <c r="C3" s="20" t="inlineStr">
        <is>
          <t>Segundos por dia</t>
        </is>
      </c>
    </row>
    <row r="4">
      <c r="A4" s="20" t="inlineStr">
        <is>
          <t>Takt time</t>
        </is>
      </c>
      <c r="B4" s="20" t="inlineStr">
        <is>
          <t>Tempo disponível ÷ Demanda diária</t>
        </is>
      </c>
      <c r="C4" s="20" t="inlineStr">
        <is>
          <t>Ritmo exigido pelo cliente (turnos da planta)</t>
        </is>
      </c>
    </row>
    <row r="5">
      <c r="A5" s="20" t="inlineStr">
        <is>
          <t>TC efetivo</t>
        </is>
      </c>
      <c r="B5" s="20" t="inlineStr">
        <is>
          <t>TC ÷ OEE</t>
        </is>
      </c>
      <c r="C5" s="20" t="inlineStr">
        <is>
          <t>Quanto o processo realmente leva, com as perdas</t>
        </is>
      </c>
    </row>
    <row r="6">
      <c r="A6" s="20" t="inlineStr">
        <is>
          <t>Capacidade</t>
        </is>
      </c>
      <c r="B6" s="20" t="inlineStr">
        <is>
          <t>Tempo do turno × Turnos do processo × OEE ÷ TC</t>
        </is>
      </c>
      <c r="C6" s="20" t="inlineStr">
        <is>
          <t>Peças por dia</t>
        </is>
      </c>
    </row>
    <row r="7">
      <c r="A7" s="20" t="inlineStr">
        <is>
          <t>Carga</t>
        </is>
      </c>
      <c r="B7" s="20" t="inlineStr">
        <is>
          <t>Demanda diária ÷ Capacidade</t>
        </is>
      </c>
      <c r="C7" s="20" t="inlineStr">
        <is>
          <t>&gt; 100% = não atende; gargalo = maior carga</t>
        </is>
      </c>
    </row>
    <row r="8">
      <c r="A8" s="20" t="inlineStr">
        <is>
          <t>Espera no estoque</t>
        </is>
      </c>
      <c r="B8" s="20" t="inlineStr">
        <is>
          <t>Estoque ÷ Demanda diária</t>
        </is>
      </c>
      <c r="C8" s="20" t="inlineStr">
        <is>
          <t>Dias (Lei de Little)</t>
        </is>
      </c>
    </row>
    <row r="9">
      <c r="A9" s="20" t="inlineStr">
        <is>
          <t>Lead time</t>
        </is>
      </c>
      <c r="B9" s="20" t="inlineStr">
        <is>
          <t>Σ esperas + produto acabado</t>
        </is>
      </c>
      <c r="C9" s="20" t="inlineStr">
        <is>
          <t>Dias</t>
        </is>
      </c>
    </row>
    <row r="10">
      <c r="A10" s="20" t="inlineStr">
        <is>
          <t>TP</t>
        </is>
      </c>
      <c r="B10" s="20" t="inlineStr">
        <is>
          <t>Σ TC</t>
        </is>
      </c>
      <c r="C10" s="20" t="inlineStr">
        <is>
          <t>Segundos</t>
        </is>
      </c>
    </row>
    <row r="11">
      <c r="A11" s="20" t="inlineStr">
        <is>
          <t>PCE</t>
        </is>
      </c>
      <c r="B11" s="20" t="inlineStr">
        <is>
          <t>Tempo VA ÷ Lead time</t>
        </is>
      </c>
      <c r="C11" s="20" t="inlineStr">
        <is>
          <t>Diga qual base usou: horas de trabalho ou 24 h</t>
        </is>
      </c>
    </row>
    <row r="12">
      <c r="A12" s="20" t="inlineStr">
        <is>
          <t>Operadores</t>
        </is>
      </c>
      <c r="B12" s="20" t="inlineStr">
        <is>
          <t>Σ TC ÷ Takt</t>
        </is>
      </c>
      <c r="C12" s="20" t="inlineStr">
        <is>
          <t>Arredondar para cima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2026-09-25T02:19:07Z</dcterms:created>
  <dcterms:modified xsi:type="dcterms:W3CDTF">2026-09-25T02:19:07Z</dcterms:modified>
</cp:coreProperties>
</file>